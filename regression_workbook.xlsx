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/>
  <xr:revisionPtr revIDLastSave="0" documentId="8_{1F3A1342-6C96-4AD3-8F98-21F1F301177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riginal_Data" sheetId="1" r:id="rId1"/>
    <sheet name="Cleaned_Data" sheetId="2" r:id="rId2"/>
    <sheet name="Dummy_Variables" sheetId="3" r:id="rId3"/>
    <sheet name="Simple_Model_1" sheetId="4" r:id="rId4"/>
    <sheet name="Simple_Model_2" sheetId="5" r:id="rId5"/>
    <sheet name="Multiple_Model" sheetId="6" r:id="rId6"/>
    <sheet name="Predictions_Residuals" sheetId="7" r:id="rId7"/>
    <sheet name="Model_Comparison" sheetId="8" r:id="rId8"/>
    <sheet name="Data_Dictionary" sheetId="9" r:id="rId9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21" i="3" l="1"/>
  <c r="S321" i="3"/>
  <c r="R321" i="3"/>
  <c r="Q321" i="3"/>
  <c r="P321" i="3"/>
  <c r="O321" i="3"/>
  <c r="F321" i="7" s="1"/>
  <c r="G321" i="7" s="1"/>
  <c r="T320" i="3"/>
  <c r="S320" i="3"/>
  <c r="R320" i="3"/>
  <c r="Q320" i="3"/>
  <c r="P320" i="3"/>
  <c r="O320" i="3"/>
  <c r="F320" i="7" s="1"/>
  <c r="G320" i="7" s="1"/>
  <c r="T319" i="3"/>
  <c r="S319" i="3"/>
  <c r="R319" i="3"/>
  <c r="Q319" i="3"/>
  <c r="P319" i="3"/>
  <c r="O319" i="3"/>
  <c r="F319" i="7" s="1"/>
  <c r="G319" i="7" s="1"/>
  <c r="T318" i="3"/>
  <c r="S318" i="3"/>
  <c r="R318" i="3"/>
  <c r="Q318" i="3"/>
  <c r="P318" i="3"/>
  <c r="O318" i="3"/>
  <c r="F318" i="7" s="1"/>
  <c r="G318" i="7" s="1"/>
  <c r="T317" i="3"/>
  <c r="S317" i="3"/>
  <c r="R317" i="3"/>
  <c r="Q317" i="3"/>
  <c r="P317" i="3"/>
  <c r="O317" i="3"/>
  <c r="F317" i="7" s="1"/>
  <c r="G317" i="7" s="1"/>
  <c r="T316" i="3"/>
  <c r="S316" i="3"/>
  <c r="R316" i="3"/>
  <c r="Q316" i="3"/>
  <c r="P316" i="3"/>
  <c r="O316" i="3"/>
  <c r="F316" i="7" s="1"/>
  <c r="G316" i="7" s="1"/>
  <c r="T315" i="3"/>
  <c r="S315" i="3"/>
  <c r="R315" i="3"/>
  <c r="Q315" i="3"/>
  <c r="P315" i="3"/>
  <c r="O315" i="3"/>
  <c r="F315" i="7" s="1"/>
  <c r="G315" i="7" s="1"/>
  <c r="T314" i="3"/>
  <c r="S314" i="3"/>
  <c r="R314" i="3"/>
  <c r="Q314" i="3"/>
  <c r="P314" i="3"/>
  <c r="O314" i="3"/>
  <c r="F314" i="7" s="1"/>
  <c r="G314" i="7" s="1"/>
  <c r="T313" i="3"/>
  <c r="S313" i="3"/>
  <c r="R313" i="3"/>
  <c r="Q313" i="3"/>
  <c r="P313" i="3"/>
  <c r="O313" i="3"/>
  <c r="F313" i="7" s="1"/>
  <c r="G313" i="7" s="1"/>
  <c r="T312" i="3"/>
  <c r="S312" i="3"/>
  <c r="R312" i="3"/>
  <c r="Q312" i="3"/>
  <c r="P312" i="3"/>
  <c r="O312" i="3"/>
  <c r="F312" i="7" s="1"/>
  <c r="G312" i="7" s="1"/>
  <c r="T311" i="3"/>
  <c r="S311" i="3"/>
  <c r="R311" i="3"/>
  <c r="Q311" i="3"/>
  <c r="P311" i="3"/>
  <c r="O311" i="3"/>
  <c r="F311" i="7" s="1"/>
  <c r="G311" i="7" s="1"/>
  <c r="T310" i="3"/>
  <c r="S310" i="3"/>
  <c r="R310" i="3"/>
  <c r="Q310" i="3"/>
  <c r="P310" i="3"/>
  <c r="O310" i="3"/>
  <c r="F310" i="7" s="1"/>
  <c r="G310" i="7" s="1"/>
  <c r="T309" i="3"/>
  <c r="S309" i="3"/>
  <c r="R309" i="3"/>
  <c r="Q309" i="3"/>
  <c r="P309" i="3"/>
  <c r="O309" i="3"/>
  <c r="F309" i="7" s="1"/>
  <c r="G309" i="7" s="1"/>
  <c r="T308" i="3"/>
  <c r="S308" i="3"/>
  <c r="R308" i="3"/>
  <c r="Q308" i="3"/>
  <c r="P308" i="3"/>
  <c r="O308" i="3"/>
  <c r="F308" i="7" s="1"/>
  <c r="G308" i="7" s="1"/>
  <c r="T307" i="3"/>
  <c r="S307" i="3"/>
  <c r="R307" i="3"/>
  <c r="Q307" i="3"/>
  <c r="P307" i="3"/>
  <c r="O307" i="3"/>
  <c r="F307" i="7" s="1"/>
  <c r="G307" i="7" s="1"/>
  <c r="T306" i="3"/>
  <c r="S306" i="3"/>
  <c r="R306" i="3"/>
  <c r="Q306" i="3"/>
  <c r="P306" i="3"/>
  <c r="O306" i="3"/>
  <c r="F306" i="7" s="1"/>
  <c r="G306" i="7" s="1"/>
  <c r="T305" i="3"/>
  <c r="S305" i="3"/>
  <c r="R305" i="3"/>
  <c r="Q305" i="3"/>
  <c r="P305" i="3"/>
  <c r="O305" i="3"/>
  <c r="F305" i="7" s="1"/>
  <c r="G305" i="7" s="1"/>
  <c r="T304" i="3"/>
  <c r="S304" i="3"/>
  <c r="R304" i="3"/>
  <c r="Q304" i="3"/>
  <c r="P304" i="3"/>
  <c r="O304" i="3"/>
  <c r="F304" i="7" s="1"/>
  <c r="G304" i="7" s="1"/>
  <c r="T303" i="3"/>
  <c r="S303" i="3"/>
  <c r="R303" i="3"/>
  <c r="Q303" i="3"/>
  <c r="P303" i="3"/>
  <c r="O303" i="3"/>
  <c r="F303" i="7" s="1"/>
  <c r="G303" i="7" s="1"/>
  <c r="T302" i="3"/>
  <c r="S302" i="3"/>
  <c r="R302" i="3"/>
  <c r="Q302" i="3"/>
  <c r="P302" i="3"/>
  <c r="O302" i="3"/>
  <c r="F302" i="7" s="1"/>
  <c r="G302" i="7" s="1"/>
  <c r="T301" i="3"/>
  <c r="S301" i="3"/>
  <c r="R301" i="3"/>
  <c r="Q301" i="3"/>
  <c r="P301" i="3"/>
  <c r="O301" i="3"/>
  <c r="F301" i="7" s="1"/>
  <c r="G301" i="7" s="1"/>
  <c r="T300" i="3"/>
  <c r="S300" i="3"/>
  <c r="R300" i="3"/>
  <c r="Q300" i="3"/>
  <c r="P300" i="3"/>
  <c r="O300" i="3"/>
  <c r="F300" i="7" s="1"/>
  <c r="G300" i="7" s="1"/>
  <c r="T299" i="3"/>
  <c r="S299" i="3"/>
  <c r="R299" i="3"/>
  <c r="Q299" i="3"/>
  <c r="P299" i="3"/>
  <c r="O299" i="3"/>
  <c r="F299" i="7" s="1"/>
  <c r="G299" i="7" s="1"/>
  <c r="T298" i="3"/>
  <c r="S298" i="3"/>
  <c r="R298" i="3"/>
  <c r="Q298" i="3"/>
  <c r="P298" i="3"/>
  <c r="O298" i="3"/>
  <c r="F298" i="7" s="1"/>
  <c r="G298" i="7" s="1"/>
  <c r="T297" i="3"/>
  <c r="S297" i="3"/>
  <c r="R297" i="3"/>
  <c r="Q297" i="3"/>
  <c r="P297" i="3"/>
  <c r="O297" i="3"/>
  <c r="F297" i="7" s="1"/>
  <c r="G297" i="7" s="1"/>
  <c r="T296" i="3"/>
  <c r="S296" i="3"/>
  <c r="R296" i="3"/>
  <c r="Q296" i="3"/>
  <c r="P296" i="3"/>
  <c r="O296" i="3"/>
  <c r="F296" i="7" s="1"/>
  <c r="G296" i="7" s="1"/>
  <c r="T295" i="3"/>
  <c r="S295" i="3"/>
  <c r="R295" i="3"/>
  <c r="Q295" i="3"/>
  <c r="P295" i="3"/>
  <c r="O295" i="3"/>
  <c r="F295" i="7" s="1"/>
  <c r="G295" i="7" s="1"/>
  <c r="T294" i="3"/>
  <c r="S294" i="3"/>
  <c r="R294" i="3"/>
  <c r="Q294" i="3"/>
  <c r="P294" i="3"/>
  <c r="O294" i="3"/>
  <c r="F294" i="7" s="1"/>
  <c r="G294" i="7" s="1"/>
  <c r="T293" i="3"/>
  <c r="S293" i="3"/>
  <c r="R293" i="3"/>
  <c r="Q293" i="3"/>
  <c r="P293" i="3"/>
  <c r="O293" i="3"/>
  <c r="F293" i="7" s="1"/>
  <c r="G293" i="7" s="1"/>
  <c r="T292" i="3"/>
  <c r="S292" i="3"/>
  <c r="R292" i="3"/>
  <c r="Q292" i="3"/>
  <c r="P292" i="3"/>
  <c r="O292" i="3"/>
  <c r="F292" i="7" s="1"/>
  <c r="G292" i="7" s="1"/>
  <c r="T291" i="3"/>
  <c r="S291" i="3"/>
  <c r="R291" i="3"/>
  <c r="Q291" i="3"/>
  <c r="P291" i="3"/>
  <c r="O291" i="3"/>
  <c r="F291" i="7" s="1"/>
  <c r="G291" i="7" s="1"/>
  <c r="T290" i="3"/>
  <c r="S290" i="3"/>
  <c r="R290" i="3"/>
  <c r="Q290" i="3"/>
  <c r="P290" i="3"/>
  <c r="O290" i="3"/>
  <c r="F290" i="7" s="1"/>
  <c r="G290" i="7" s="1"/>
  <c r="T289" i="3"/>
  <c r="S289" i="3"/>
  <c r="R289" i="3"/>
  <c r="Q289" i="3"/>
  <c r="P289" i="3"/>
  <c r="O289" i="3"/>
  <c r="F289" i="7" s="1"/>
  <c r="G289" i="7" s="1"/>
  <c r="T288" i="3"/>
  <c r="S288" i="3"/>
  <c r="R288" i="3"/>
  <c r="Q288" i="3"/>
  <c r="P288" i="3"/>
  <c r="O288" i="3"/>
  <c r="F288" i="7" s="1"/>
  <c r="G288" i="7" s="1"/>
  <c r="T287" i="3"/>
  <c r="S287" i="3"/>
  <c r="R287" i="3"/>
  <c r="Q287" i="3"/>
  <c r="P287" i="3"/>
  <c r="O287" i="3"/>
  <c r="F287" i="7" s="1"/>
  <c r="G287" i="7" s="1"/>
  <c r="T286" i="3"/>
  <c r="S286" i="3"/>
  <c r="R286" i="3"/>
  <c r="Q286" i="3"/>
  <c r="P286" i="3"/>
  <c r="O286" i="3"/>
  <c r="F286" i="7" s="1"/>
  <c r="G286" i="7" s="1"/>
  <c r="T285" i="3"/>
  <c r="S285" i="3"/>
  <c r="R285" i="3"/>
  <c r="Q285" i="3"/>
  <c r="P285" i="3"/>
  <c r="O285" i="3"/>
  <c r="F285" i="7" s="1"/>
  <c r="G285" i="7" s="1"/>
  <c r="T284" i="3"/>
  <c r="S284" i="3"/>
  <c r="R284" i="3"/>
  <c r="Q284" i="3"/>
  <c r="P284" i="3"/>
  <c r="O284" i="3"/>
  <c r="F284" i="7" s="1"/>
  <c r="G284" i="7" s="1"/>
  <c r="T283" i="3"/>
  <c r="S283" i="3"/>
  <c r="R283" i="3"/>
  <c r="Q283" i="3"/>
  <c r="P283" i="3"/>
  <c r="O283" i="3"/>
  <c r="F283" i="7" s="1"/>
  <c r="G283" i="7" s="1"/>
  <c r="T282" i="3"/>
  <c r="S282" i="3"/>
  <c r="R282" i="3"/>
  <c r="Q282" i="3"/>
  <c r="P282" i="3"/>
  <c r="O282" i="3"/>
  <c r="F282" i="7" s="1"/>
  <c r="G282" i="7" s="1"/>
  <c r="T281" i="3"/>
  <c r="S281" i="3"/>
  <c r="R281" i="3"/>
  <c r="Q281" i="3"/>
  <c r="P281" i="3"/>
  <c r="O281" i="3"/>
  <c r="F281" i="7" s="1"/>
  <c r="G281" i="7" s="1"/>
  <c r="T280" i="3"/>
  <c r="S280" i="3"/>
  <c r="R280" i="3"/>
  <c r="Q280" i="3"/>
  <c r="P280" i="3"/>
  <c r="O280" i="3"/>
  <c r="F280" i="7" s="1"/>
  <c r="G280" i="7" s="1"/>
  <c r="T279" i="3"/>
  <c r="S279" i="3"/>
  <c r="R279" i="3"/>
  <c r="Q279" i="3"/>
  <c r="P279" i="3"/>
  <c r="O279" i="3"/>
  <c r="F279" i="7" s="1"/>
  <c r="G279" i="7" s="1"/>
  <c r="T278" i="3"/>
  <c r="S278" i="3"/>
  <c r="R278" i="3"/>
  <c r="Q278" i="3"/>
  <c r="P278" i="3"/>
  <c r="O278" i="3"/>
  <c r="F278" i="7" s="1"/>
  <c r="G278" i="7" s="1"/>
  <c r="T277" i="3"/>
  <c r="S277" i="3"/>
  <c r="R277" i="3"/>
  <c r="Q277" i="3"/>
  <c r="P277" i="3"/>
  <c r="O277" i="3"/>
  <c r="F277" i="7" s="1"/>
  <c r="G277" i="7" s="1"/>
  <c r="T276" i="3"/>
  <c r="S276" i="3"/>
  <c r="R276" i="3"/>
  <c r="Q276" i="3"/>
  <c r="P276" i="3"/>
  <c r="O276" i="3"/>
  <c r="F276" i="7" s="1"/>
  <c r="G276" i="7" s="1"/>
  <c r="T275" i="3"/>
  <c r="S275" i="3"/>
  <c r="R275" i="3"/>
  <c r="Q275" i="3"/>
  <c r="P275" i="3"/>
  <c r="O275" i="3"/>
  <c r="F275" i="7" s="1"/>
  <c r="G275" i="7" s="1"/>
  <c r="T274" i="3"/>
  <c r="S274" i="3"/>
  <c r="R274" i="3"/>
  <c r="Q274" i="3"/>
  <c r="P274" i="3"/>
  <c r="O274" i="3"/>
  <c r="F274" i="7" s="1"/>
  <c r="G274" i="7" s="1"/>
  <c r="T273" i="3"/>
  <c r="S273" i="3"/>
  <c r="R273" i="3"/>
  <c r="Q273" i="3"/>
  <c r="P273" i="3"/>
  <c r="O273" i="3"/>
  <c r="F273" i="7" s="1"/>
  <c r="G273" i="7" s="1"/>
  <c r="T272" i="3"/>
  <c r="S272" i="3"/>
  <c r="R272" i="3"/>
  <c r="Q272" i="3"/>
  <c r="P272" i="3"/>
  <c r="O272" i="3"/>
  <c r="F272" i="7" s="1"/>
  <c r="G272" i="7" s="1"/>
  <c r="T271" i="3"/>
  <c r="S271" i="3"/>
  <c r="R271" i="3"/>
  <c r="Q271" i="3"/>
  <c r="P271" i="3"/>
  <c r="O271" i="3"/>
  <c r="F271" i="7" s="1"/>
  <c r="G271" i="7" s="1"/>
  <c r="T270" i="3"/>
  <c r="S270" i="3"/>
  <c r="R270" i="3"/>
  <c r="Q270" i="3"/>
  <c r="P270" i="3"/>
  <c r="O270" i="3"/>
  <c r="F270" i="7" s="1"/>
  <c r="G270" i="7" s="1"/>
  <c r="T269" i="3"/>
  <c r="S269" i="3"/>
  <c r="R269" i="3"/>
  <c r="Q269" i="3"/>
  <c r="P269" i="3"/>
  <c r="O269" i="3"/>
  <c r="F269" i="7" s="1"/>
  <c r="G269" i="7" s="1"/>
  <c r="T268" i="3"/>
  <c r="S268" i="3"/>
  <c r="R268" i="3"/>
  <c r="Q268" i="3"/>
  <c r="P268" i="3"/>
  <c r="O268" i="3"/>
  <c r="F268" i="7" s="1"/>
  <c r="G268" i="7" s="1"/>
  <c r="T267" i="3"/>
  <c r="S267" i="3"/>
  <c r="R267" i="3"/>
  <c r="Q267" i="3"/>
  <c r="P267" i="3"/>
  <c r="O267" i="3"/>
  <c r="F267" i="7" s="1"/>
  <c r="G267" i="7" s="1"/>
  <c r="T266" i="3"/>
  <c r="S266" i="3"/>
  <c r="R266" i="3"/>
  <c r="Q266" i="3"/>
  <c r="P266" i="3"/>
  <c r="O266" i="3"/>
  <c r="F266" i="7" s="1"/>
  <c r="G266" i="7" s="1"/>
  <c r="T265" i="3"/>
  <c r="S265" i="3"/>
  <c r="R265" i="3"/>
  <c r="Q265" i="3"/>
  <c r="P265" i="3"/>
  <c r="O265" i="3"/>
  <c r="F265" i="7" s="1"/>
  <c r="G265" i="7" s="1"/>
  <c r="T264" i="3"/>
  <c r="S264" i="3"/>
  <c r="R264" i="3"/>
  <c r="Q264" i="3"/>
  <c r="P264" i="3"/>
  <c r="O264" i="3"/>
  <c r="F264" i="7" s="1"/>
  <c r="G264" i="7" s="1"/>
  <c r="T263" i="3"/>
  <c r="S263" i="3"/>
  <c r="R263" i="3"/>
  <c r="Q263" i="3"/>
  <c r="P263" i="3"/>
  <c r="O263" i="3"/>
  <c r="F263" i="7" s="1"/>
  <c r="G263" i="7" s="1"/>
  <c r="T262" i="3"/>
  <c r="S262" i="3"/>
  <c r="R262" i="3"/>
  <c r="Q262" i="3"/>
  <c r="P262" i="3"/>
  <c r="O262" i="3"/>
  <c r="F262" i="7" s="1"/>
  <c r="G262" i="7" s="1"/>
  <c r="T261" i="3"/>
  <c r="S261" i="3"/>
  <c r="R261" i="3"/>
  <c r="Q261" i="3"/>
  <c r="P261" i="3"/>
  <c r="O261" i="3"/>
  <c r="F261" i="7" s="1"/>
  <c r="G261" i="7" s="1"/>
  <c r="T260" i="3"/>
  <c r="S260" i="3"/>
  <c r="R260" i="3"/>
  <c r="Q260" i="3"/>
  <c r="P260" i="3"/>
  <c r="O260" i="3"/>
  <c r="F260" i="7" s="1"/>
  <c r="G260" i="7" s="1"/>
  <c r="T259" i="3"/>
  <c r="S259" i="3"/>
  <c r="R259" i="3"/>
  <c r="Q259" i="3"/>
  <c r="P259" i="3"/>
  <c r="O259" i="3"/>
  <c r="F259" i="7" s="1"/>
  <c r="G259" i="7" s="1"/>
  <c r="T258" i="3"/>
  <c r="S258" i="3"/>
  <c r="R258" i="3"/>
  <c r="Q258" i="3"/>
  <c r="P258" i="3"/>
  <c r="O258" i="3"/>
  <c r="F258" i="7" s="1"/>
  <c r="G258" i="7" s="1"/>
  <c r="T257" i="3"/>
  <c r="S257" i="3"/>
  <c r="R257" i="3"/>
  <c r="Q257" i="3"/>
  <c r="P257" i="3"/>
  <c r="O257" i="3"/>
  <c r="F257" i="7" s="1"/>
  <c r="G257" i="7" s="1"/>
  <c r="T256" i="3"/>
  <c r="S256" i="3"/>
  <c r="R256" i="3"/>
  <c r="Q256" i="3"/>
  <c r="P256" i="3"/>
  <c r="O256" i="3"/>
  <c r="F256" i="7" s="1"/>
  <c r="G256" i="7" s="1"/>
  <c r="T255" i="3"/>
  <c r="S255" i="3"/>
  <c r="R255" i="3"/>
  <c r="Q255" i="3"/>
  <c r="P255" i="3"/>
  <c r="O255" i="3"/>
  <c r="F255" i="7" s="1"/>
  <c r="G255" i="7" s="1"/>
  <c r="T254" i="3"/>
  <c r="S254" i="3"/>
  <c r="R254" i="3"/>
  <c r="Q254" i="3"/>
  <c r="P254" i="3"/>
  <c r="O254" i="3"/>
  <c r="F254" i="7" s="1"/>
  <c r="G254" i="7" s="1"/>
  <c r="T253" i="3"/>
  <c r="S253" i="3"/>
  <c r="R253" i="3"/>
  <c r="Q253" i="3"/>
  <c r="P253" i="3"/>
  <c r="O253" i="3"/>
  <c r="F253" i="7" s="1"/>
  <c r="G253" i="7" s="1"/>
  <c r="T252" i="3"/>
  <c r="S252" i="3"/>
  <c r="R252" i="3"/>
  <c r="Q252" i="3"/>
  <c r="P252" i="3"/>
  <c r="O252" i="3"/>
  <c r="F252" i="7" s="1"/>
  <c r="G252" i="7" s="1"/>
  <c r="T251" i="3"/>
  <c r="S251" i="3"/>
  <c r="R251" i="3"/>
  <c r="Q251" i="3"/>
  <c r="P251" i="3"/>
  <c r="O251" i="3"/>
  <c r="F251" i="7" s="1"/>
  <c r="G251" i="7" s="1"/>
  <c r="T250" i="3"/>
  <c r="S250" i="3"/>
  <c r="R250" i="3"/>
  <c r="Q250" i="3"/>
  <c r="P250" i="3"/>
  <c r="O250" i="3"/>
  <c r="F250" i="7" s="1"/>
  <c r="G250" i="7" s="1"/>
  <c r="T249" i="3"/>
  <c r="S249" i="3"/>
  <c r="R249" i="3"/>
  <c r="Q249" i="3"/>
  <c r="P249" i="3"/>
  <c r="O249" i="3"/>
  <c r="F249" i="7" s="1"/>
  <c r="G249" i="7" s="1"/>
  <c r="T248" i="3"/>
  <c r="S248" i="3"/>
  <c r="R248" i="3"/>
  <c r="Q248" i="3"/>
  <c r="P248" i="3"/>
  <c r="O248" i="3"/>
  <c r="F248" i="7" s="1"/>
  <c r="G248" i="7" s="1"/>
  <c r="T247" i="3"/>
  <c r="S247" i="3"/>
  <c r="R247" i="3"/>
  <c r="Q247" i="3"/>
  <c r="P247" i="3"/>
  <c r="O247" i="3"/>
  <c r="F247" i="7" s="1"/>
  <c r="G247" i="7" s="1"/>
  <c r="T246" i="3"/>
  <c r="S246" i="3"/>
  <c r="R246" i="3"/>
  <c r="Q246" i="3"/>
  <c r="P246" i="3"/>
  <c r="O246" i="3"/>
  <c r="F246" i="7" s="1"/>
  <c r="G246" i="7" s="1"/>
  <c r="T245" i="3"/>
  <c r="S245" i="3"/>
  <c r="R245" i="3"/>
  <c r="Q245" i="3"/>
  <c r="P245" i="3"/>
  <c r="O245" i="3"/>
  <c r="F245" i="7" s="1"/>
  <c r="G245" i="7" s="1"/>
  <c r="T244" i="3"/>
  <c r="S244" i="3"/>
  <c r="R244" i="3"/>
  <c r="Q244" i="3"/>
  <c r="P244" i="3"/>
  <c r="O244" i="3"/>
  <c r="F244" i="7" s="1"/>
  <c r="G244" i="7" s="1"/>
  <c r="T243" i="3"/>
  <c r="S243" i="3"/>
  <c r="R243" i="3"/>
  <c r="Q243" i="3"/>
  <c r="P243" i="3"/>
  <c r="O243" i="3"/>
  <c r="F243" i="7" s="1"/>
  <c r="G243" i="7" s="1"/>
  <c r="T242" i="3"/>
  <c r="S242" i="3"/>
  <c r="R242" i="3"/>
  <c r="Q242" i="3"/>
  <c r="P242" i="3"/>
  <c r="O242" i="3"/>
  <c r="F242" i="7" s="1"/>
  <c r="G242" i="7" s="1"/>
  <c r="T241" i="3"/>
  <c r="S241" i="3"/>
  <c r="R241" i="3"/>
  <c r="Q241" i="3"/>
  <c r="P241" i="3"/>
  <c r="O241" i="3"/>
  <c r="F241" i="7" s="1"/>
  <c r="G241" i="7" s="1"/>
  <c r="T240" i="3"/>
  <c r="S240" i="3"/>
  <c r="R240" i="3"/>
  <c r="Q240" i="3"/>
  <c r="P240" i="3"/>
  <c r="O240" i="3"/>
  <c r="F240" i="7" s="1"/>
  <c r="G240" i="7" s="1"/>
  <c r="T239" i="3"/>
  <c r="S239" i="3"/>
  <c r="R239" i="3"/>
  <c r="Q239" i="3"/>
  <c r="P239" i="3"/>
  <c r="O239" i="3"/>
  <c r="F239" i="7" s="1"/>
  <c r="G239" i="7" s="1"/>
  <c r="T238" i="3"/>
  <c r="S238" i="3"/>
  <c r="R238" i="3"/>
  <c r="Q238" i="3"/>
  <c r="P238" i="3"/>
  <c r="O238" i="3"/>
  <c r="F238" i="7" s="1"/>
  <c r="G238" i="7" s="1"/>
  <c r="T237" i="3"/>
  <c r="S237" i="3"/>
  <c r="R237" i="3"/>
  <c r="Q237" i="3"/>
  <c r="P237" i="3"/>
  <c r="O237" i="3"/>
  <c r="F237" i="7" s="1"/>
  <c r="G237" i="7" s="1"/>
  <c r="T236" i="3"/>
  <c r="S236" i="3"/>
  <c r="R236" i="3"/>
  <c r="Q236" i="3"/>
  <c r="P236" i="3"/>
  <c r="O236" i="3"/>
  <c r="F236" i="7" s="1"/>
  <c r="G236" i="7" s="1"/>
  <c r="T235" i="3"/>
  <c r="S235" i="3"/>
  <c r="R235" i="3"/>
  <c r="Q235" i="3"/>
  <c r="P235" i="3"/>
  <c r="O235" i="3"/>
  <c r="F235" i="7" s="1"/>
  <c r="G235" i="7" s="1"/>
  <c r="T234" i="3"/>
  <c r="S234" i="3"/>
  <c r="R234" i="3"/>
  <c r="Q234" i="3"/>
  <c r="P234" i="3"/>
  <c r="O234" i="3"/>
  <c r="F234" i="7" s="1"/>
  <c r="G234" i="7" s="1"/>
  <c r="T233" i="3"/>
  <c r="S233" i="3"/>
  <c r="R233" i="3"/>
  <c r="Q233" i="3"/>
  <c r="P233" i="3"/>
  <c r="O233" i="3"/>
  <c r="F233" i="7" s="1"/>
  <c r="G233" i="7" s="1"/>
  <c r="T232" i="3"/>
  <c r="S232" i="3"/>
  <c r="R232" i="3"/>
  <c r="Q232" i="3"/>
  <c r="P232" i="3"/>
  <c r="O232" i="3"/>
  <c r="F232" i="7" s="1"/>
  <c r="G232" i="7" s="1"/>
  <c r="T231" i="3"/>
  <c r="S231" i="3"/>
  <c r="R231" i="3"/>
  <c r="Q231" i="3"/>
  <c r="P231" i="3"/>
  <c r="O231" i="3"/>
  <c r="F231" i="7" s="1"/>
  <c r="G231" i="7" s="1"/>
  <c r="T230" i="3"/>
  <c r="S230" i="3"/>
  <c r="R230" i="3"/>
  <c r="Q230" i="3"/>
  <c r="P230" i="3"/>
  <c r="O230" i="3"/>
  <c r="F230" i="7" s="1"/>
  <c r="G230" i="7" s="1"/>
  <c r="T229" i="3"/>
  <c r="S229" i="3"/>
  <c r="R229" i="3"/>
  <c r="Q229" i="3"/>
  <c r="P229" i="3"/>
  <c r="O229" i="3"/>
  <c r="F229" i="7" s="1"/>
  <c r="G229" i="7" s="1"/>
  <c r="T228" i="3"/>
  <c r="S228" i="3"/>
  <c r="R228" i="3"/>
  <c r="Q228" i="3"/>
  <c r="P228" i="3"/>
  <c r="O228" i="3"/>
  <c r="F228" i="7" s="1"/>
  <c r="G228" i="7" s="1"/>
  <c r="T227" i="3"/>
  <c r="S227" i="3"/>
  <c r="R227" i="3"/>
  <c r="Q227" i="3"/>
  <c r="P227" i="3"/>
  <c r="O227" i="3"/>
  <c r="F227" i="7" s="1"/>
  <c r="G227" i="7" s="1"/>
  <c r="T226" i="3"/>
  <c r="S226" i="3"/>
  <c r="R226" i="3"/>
  <c r="Q226" i="3"/>
  <c r="P226" i="3"/>
  <c r="O226" i="3"/>
  <c r="F226" i="7" s="1"/>
  <c r="G226" i="7" s="1"/>
  <c r="T225" i="3"/>
  <c r="S225" i="3"/>
  <c r="R225" i="3"/>
  <c r="Q225" i="3"/>
  <c r="P225" i="3"/>
  <c r="O225" i="3"/>
  <c r="F225" i="7" s="1"/>
  <c r="G225" i="7" s="1"/>
  <c r="T224" i="3"/>
  <c r="S224" i="3"/>
  <c r="R224" i="3"/>
  <c r="Q224" i="3"/>
  <c r="P224" i="3"/>
  <c r="O224" i="3"/>
  <c r="F224" i="7" s="1"/>
  <c r="G224" i="7" s="1"/>
  <c r="T223" i="3"/>
  <c r="S223" i="3"/>
  <c r="R223" i="3"/>
  <c r="Q223" i="3"/>
  <c r="P223" i="3"/>
  <c r="O223" i="3"/>
  <c r="F223" i="7" s="1"/>
  <c r="G223" i="7" s="1"/>
  <c r="T222" i="3"/>
  <c r="S222" i="3"/>
  <c r="R222" i="3"/>
  <c r="Q222" i="3"/>
  <c r="P222" i="3"/>
  <c r="O222" i="3"/>
  <c r="F222" i="7" s="1"/>
  <c r="G222" i="7" s="1"/>
  <c r="T221" i="3"/>
  <c r="S221" i="3"/>
  <c r="R221" i="3"/>
  <c r="Q221" i="3"/>
  <c r="P221" i="3"/>
  <c r="O221" i="3"/>
  <c r="F221" i="7" s="1"/>
  <c r="G221" i="7" s="1"/>
  <c r="T220" i="3"/>
  <c r="S220" i="3"/>
  <c r="R220" i="3"/>
  <c r="Q220" i="3"/>
  <c r="P220" i="3"/>
  <c r="O220" i="3"/>
  <c r="F220" i="7" s="1"/>
  <c r="G220" i="7" s="1"/>
  <c r="T219" i="3"/>
  <c r="S219" i="3"/>
  <c r="R219" i="3"/>
  <c r="Q219" i="3"/>
  <c r="P219" i="3"/>
  <c r="O219" i="3"/>
  <c r="F219" i="7" s="1"/>
  <c r="G219" i="7" s="1"/>
  <c r="T218" i="3"/>
  <c r="S218" i="3"/>
  <c r="R218" i="3"/>
  <c r="Q218" i="3"/>
  <c r="P218" i="3"/>
  <c r="O218" i="3"/>
  <c r="F218" i="7" s="1"/>
  <c r="G218" i="7" s="1"/>
  <c r="T217" i="3"/>
  <c r="S217" i="3"/>
  <c r="R217" i="3"/>
  <c r="Q217" i="3"/>
  <c r="P217" i="3"/>
  <c r="O217" i="3"/>
  <c r="F217" i="7" s="1"/>
  <c r="G217" i="7" s="1"/>
  <c r="T216" i="3"/>
  <c r="S216" i="3"/>
  <c r="R216" i="3"/>
  <c r="Q216" i="3"/>
  <c r="P216" i="3"/>
  <c r="O216" i="3"/>
  <c r="F216" i="7" s="1"/>
  <c r="G216" i="7" s="1"/>
  <c r="T215" i="3"/>
  <c r="S215" i="3"/>
  <c r="R215" i="3"/>
  <c r="Q215" i="3"/>
  <c r="P215" i="3"/>
  <c r="O215" i="3"/>
  <c r="F215" i="7" s="1"/>
  <c r="G215" i="7" s="1"/>
  <c r="T214" i="3"/>
  <c r="S214" i="3"/>
  <c r="R214" i="3"/>
  <c r="Q214" i="3"/>
  <c r="P214" i="3"/>
  <c r="O214" i="3"/>
  <c r="F214" i="7" s="1"/>
  <c r="G214" i="7" s="1"/>
  <c r="T213" i="3"/>
  <c r="S213" i="3"/>
  <c r="R213" i="3"/>
  <c r="Q213" i="3"/>
  <c r="P213" i="3"/>
  <c r="O213" i="3"/>
  <c r="F213" i="7" s="1"/>
  <c r="G213" i="7" s="1"/>
  <c r="T212" i="3"/>
  <c r="S212" i="3"/>
  <c r="R212" i="3"/>
  <c r="Q212" i="3"/>
  <c r="P212" i="3"/>
  <c r="O212" i="3"/>
  <c r="F212" i="7" s="1"/>
  <c r="G212" i="7" s="1"/>
  <c r="T211" i="3"/>
  <c r="S211" i="3"/>
  <c r="R211" i="3"/>
  <c r="Q211" i="3"/>
  <c r="P211" i="3"/>
  <c r="O211" i="3"/>
  <c r="F211" i="7" s="1"/>
  <c r="G211" i="7" s="1"/>
  <c r="T210" i="3"/>
  <c r="S210" i="3"/>
  <c r="R210" i="3"/>
  <c r="Q210" i="3"/>
  <c r="P210" i="3"/>
  <c r="O210" i="3"/>
  <c r="F210" i="7" s="1"/>
  <c r="G210" i="7" s="1"/>
  <c r="T209" i="3"/>
  <c r="S209" i="3"/>
  <c r="R209" i="3"/>
  <c r="Q209" i="3"/>
  <c r="P209" i="3"/>
  <c r="O209" i="3"/>
  <c r="F209" i="7" s="1"/>
  <c r="G209" i="7" s="1"/>
  <c r="T208" i="3"/>
  <c r="S208" i="3"/>
  <c r="R208" i="3"/>
  <c r="Q208" i="3"/>
  <c r="P208" i="3"/>
  <c r="O208" i="3"/>
  <c r="F208" i="7" s="1"/>
  <c r="G208" i="7" s="1"/>
  <c r="T207" i="3"/>
  <c r="S207" i="3"/>
  <c r="R207" i="3"/>
  <c r="Q207" i="3"/>
  <c r="P207" i="3"/>
  <c r="O207" i="3"/>
  <c r="F207" i="7" s="1"/>
  <c r="G207" i="7" s="1"/>
  <c r="T206" i="3"/>
  <c r="S206" i="3"/>
  <c r="R206" i="3"/>
  <c r="Q206" i="3"/>
  <c r="P206" i="3"/>
  <c r="O206" i="3"/>
  <c r="F206" i="7" s="1"/>
  <c r="G206" i="7" s="1"/>
  <c r="T205" i="3"/>
  <c r="S205" i="3"/>
  <c r="R205" i="3"/>
  <c r="Q205" i="3"/>
  <c r="P205" i="3"/>
  <c r="O205" i="3"/>
  <c r="F205" i="7" s="1"/>
  <c r="G205" i="7" s="1"/>
  <c r="T204" i="3"/>
  <c r="S204" i="3"/>
  <c r="R204" i="3"/>
  <c r="Q204" i="3"/>
  <c r="P204" i="3"/>
  <c r="O204" i="3"/>
  <c r="F204" i="7" s="1"/>
  <c r="G204" i="7" s="1"/>
  <c r="T203" i="3"/>
  <c r="S203" i="3"/>
  <c r="R203" i="3"/>
  <c r="Q203" i="3"/>
  <c r="P203" i="3"/>
  <c r="O203" i="3"/>
  <c r="F203" i="7" s="1"/>
  <c r="G203" i="7" s="1"/>
  <c r="T202" i="3"/>
  <c r="S202" i="3"/>
  <c r="R202" i="3"/>
  <c r="Q202" i="3"/>
  <c r="P202" i="3"/>
  <c r="O202" i="3"/>
  <c r="F202" i="7" s="1"/>
  <c r="G202" i="7" s="1"/>
  <c r="T201" i="3"/>
  <c r="S201" i="3"/>
  <c r="R201" i="3"/>
  <c r="Q201" i="3"/>
  <c r="P201" i="3"/>
  <c r="O201" i="3"/>
  <c r="F201" i="7" s="1"/>
  <c r="G201" i="7" s="1"/>
  <c r="T200" i="3"/>
  <c r="S200" i="3"/>
  <c r="R200" i="3"/>
  <c r="Q200" i="3"/>
  <c r="P200" i="3"/>
  <c r="O200" i="3"/>
  <c r="F200" i="7" s="1"/>
  <c r="G200" i="7" s="1"/>
  <c r="T199" i="3"/>
  <c r="S199" i="3"/>
  <c r="R199" i="3"/>
  <c r="Q199" i="3"/>
  <c r="P199" i="3"/>
  <c r="O199" i="3"/>
  <c r="F199" i="7" s="1"/>
  <c r="G199" i="7" s="1"/>
  <c r="T198" i="3"/>
  <c r="S198" i="3"/>
  <c r="R198" i="3"/>
  <c r="Q198" i="3"/>
  <c r="P198" i="3"/>
  <c r="O198" i="3"/>
  <c r="F198" i="7" s="1"/>
  <c r="G198" i="7" s="1"/>
  <c r="T197" i="3"/>
  <c r="S197" i="3"/>
  <c r="R197" i="3"/>
  <c r="Q197" i="3"/>
  <c r="P197" i="3"/>
  <c r="O197" i="3"/>
  <c r="F197" i="7" s="1"/>
  <c r="G197" i="7" s="1"/>
  <c r="T196" i="3"/>
  <c r="S196" i="3"/>
  <c r="R196" i="3"/>
  <c r="Q196" i="3"/>
  <c r="P196" i="3"/>
  <c r="O196" i="3"/>
  <c r="F196" i="7" s="1"/>
  <c r="G196" i="7" s="1"/>
  <c r="T195" i="3"/>
  <c r="S195" i="3"/>
  <c r="R195" i="3"/>
  <c r="Q195" i="3"/>
  <c r="P195" i="3"/>
  <c r="O195" i="3"/>
  <c r="F195" i="7" s="1"/>
  <c r="G195" i="7" s="1"/>
  <c r="T194" i="3"/>
  <c r="S194" i="3"/>
  <c r="R194" i="3"/>
  <c r="Q194" i="3"/>
  <c r="P194" i="3"/>
  <c r="O194" i="3"/>
  <c r="F194" i="7" s="1"/>
  <c r="G194" i="7" s="1"/>
  <c r="T193" i="3"/>
  <c r="S193" i="3"/>
  <c r="R193" i="3"/>
  <c r="Q193" i="3"/>
  <c r="P193" i="3"/>
  <c r="O193" i="3"/>
  <c r="F193" i="7" s="1"/>
  <c r="G193" i="7" s="1"/>
  <c r="T192" i="3"/>
  <c r="S192" i="3"/>
  <c r="R192" i="3"/>
  <c r="Q192" i="3"/>
  <c r="P192" i="3"/>
  <c r="O192" i="3"/>
  <c r="F192" i="7" s="1"/>
  <c r="G192" i="7" s="1"/>
  <c r="T191" i="3"/>
  <c r="S191" i="3"/>
  <c r="R191" i="3"/>
  <c r="Q191" i="3"/>
  <c r="P191" i="3"/>
  <c r="O191" i="3"/>
  <c r="F191" i="7" s="1"/>
  <c r="G191" i="7" s="1"/>
  <c r="T190" i="3"/>
  <c r="S190" i="3"/>
  <c r="R190" i="3"/>
  <c r="Q190" i="3"/>
  <c r="P190" i="3"/>
  <c r="O190" i="3"/>
  <c r="F190" i="7" s="1"/>
  <c r="G190" i="7" s="1"/>
  <c r="T189" i="3"/>
  <c r="S189" i="3"/>
  <c r="R189" i="3"/>
  <c r="Q189" i="3"/>
  <c r="P189" i="3"/>
  <c r="O189" i="3"/>
  <c r="F189" i="7" s="1"/>
  <c r="G189" i="7" s="1"/>
  <c r="T188" i="3"/>
  <c r="S188" i="3"/>
  <c r="R188" i="3"/>
  <c r="Q188" i="3"/>
  <c r="P188" i="3"/>
  <c r="O188" i="3"/>
  <c r="F188" i="7" s="1"/>
  <c r="G188" i="7" s="1"/>
  <c r="T187" i="3"/>
  <c r="S187" i="3"/>
  <c r="R187" i="3"/>
  <c r="Q187" i="3"/>
  <c r="P187" i="3"/>
  <c r="O187" i="3"/>
  <c r="F187" i="7" s="1"/>
  <c r="G187" i="7" s="1"/>
  <c r="T186" i="3"/>
  <c r="S186" i="3"/>
  <c r="R186" i="3"/>
  <c r="Q186" i="3"/>
  <c r="P186" i="3"/>
  <c r="O186" i="3"/>
  <c r="F186" i="7" s="1"/>
  <c r="G186" i="7" s="1"/>
  <c r="T185" i="3"/>
  <c r="S185" i="3"/>
  <c r="R185" i="3"/>
  <c r="Q185" i="3"/>
  <c r="P185" i="3"/>
  <c r="O185" i="3"/>
  <c r="F185" i="7" s="1"/>
  <c r="G185" i="7" s="1"/>
  <c r="T184" i="3"/>
  <c r="S184" i="3"/>
  <c r="R184" i="3"/>
  <c r="Q184" i="3"/>
  <c r="P184" i="3"/>
  <c r="O184" i="3"/>
  <c r="F184" i="7" s="1"/>
  <c r="G184" i="7" s="1"/>
  <c r="T183" i="3"/>
  <c r="S183" i="3"/>
  <c r="R183" i="3"/>
  <c r="Q183" i="3"/>
  <c r="P183" i="3"/>
  <c r="O183" i="3"/>
  <c r="F183" i="7" s="1"/>
  <c r="G183" i="7" s="1"/>
  <c r="T182" i="3"/>
  <c r="S182" i="3"/>
  <c r="R182" i="3"/>
  <c r="Q182" i="3"/>
  <c r="P182" i="3"/>
  <c r="O182" i="3"/>
  <c r="F182" i="7" s="1"/>
  <c r="G182" i="7" s="1"/>
  <c r="T181" i="3"/>
  <c r="S181" i="3"/>
  <c r="R181" i="3"/>
  <c r="Q181" i="3"/>
  <c r="P181" i="3"/>
  <c r="O181" i="3"/>
  <c r="F181" i="7" s="1"/>
  <c r="G181" i="7" s="1"/>
  <c r="T180" i="3"/>
  <c r="S180" i="3"/>
  <c r="R180" i="3"/>
  <c r="Q180" i="3"/>
  <c r="P180" i="3"/>
  <c r="O180" i="3"/>
  <c r="F180" i="7" s="1"/>
  <c r="G180" i="7" s="1"/>
  <c r="T179" i="3"/>
  <c r="S179" i="3"/>
  <c r="R179" i="3"/>
  <c r="Q179" i="3"/>
  <c r="P179" i="3"/>
  <c r="O179" i="3"/>
  <c r="F179" i="7" s="1"/>
  <c r="G179" i="7" s="1"/>
  <c r="T178" i="3"/>
  <c r="S178" i="3"/>
  <c r="R178" i="3"/>
  <c r="Q178" i="3"/>
  <c r="P178" i="3"/>
  <c r="O178" i="3"/>
  <c r="F178" i="7" s="1"/>
  <c r="G178" i="7" s="1"/>
  <c r="T177" i="3"/>
  <c r="S177" i="3"/>
  <c r="R177" i="3"/>
  <c r="Q177" i="3"/>
  <c r="P177" i="3"/>
  <c r="O177" i="3"/>
  <c r="F177" i="7" s="1"/>
  <c r="G177" i="7" s="1"/>
  <c r="T176" i="3"/>
  <c r="S176" i="3"/>
  <c r="R176" i="3"/>
  <c r="Q176" i="3"/>
  <c r="P176" i="3"/>
  <c r="O176" i="3"/>
  <c r="F176" i="7" s="1"/>
  <c r="G176" i="7" s="1"/>
  <c r="T175" i="3"/>
  <c r="S175" i="3"/>
  <c r="R175" i="3"/>
  <c r="Q175" i="3"/>
  <c r="P175" i="3"/>
  <c r="O175" i="3"/>
  <c r="F175" i="7" s="1"/>
  <c r="G175" i="7" s="1"/>
  <c r="T174" i="3"/>
  <c r="S174" i="3"/>
  <c r="R174" i="3"/>
  <c r="Q174" i="3"/>
  <c r="P174" i="3"/>
  <c r="O174" i="3"/>
  <c r="F174" i="7" s="1"/>
  <c r="G174" i="7" s="1"/>
  <c r="T173" i="3"/>
  <c r="S173" i="3"/>
  <c r="R173" i="3"/>
  <c r="Q173" i="3"/>
  <c r="P173" i="3"/>
  <c r="O173" i="3"/>
  <c r="F173" i="7" s="1"/>
  <c r="G173" i="7" s="1"/>
  <c r="T172" i="3"/>
  <c r="S172" i="3"/>
  <c r="R172" i="3"/>
  <c r="Q172" i="3"/>
  <c r="P172" i="3"/>
  <c r="O172" i="3"/>
  <c r="F172" i="7" s="1"/>
  <c r="G172" i="7" s="1"/>
  <c r="T171" i="3"/>
  <c r="S171" i="3"/>
  <c r="R171" i="3"/>
  <c r="Q171" i="3"/>
  <c r="P171" i="3"/>
  <c r="O171" i="3"/>
  <c r="F171" i="7" s="1"/>
  <c r="G171" i="7" s="1"/>
  <c r="T170" i="3"/>
  <c r="S170" i="3"/>
  <c r="R170" i="3"/>
  <c r="Q170" i="3"/>
  <c r="P170" i="3"/>
  <c r="O170" i="3"/>
  <c r="F170" i="7" s="1"/>
  <c r="G170" i="7" s="1"/>
  <c r="T169" i="3"/>
  <c r="S169" i="3"/>
  <c r="R169" i="3"/>
  <c r="Q169" i="3"/>
  <c r="P169" i="3"/>
  <c r="O169" i="3"/>
  <c r="F169" i="7" s="1"/>
  <c r="G169" i="7" s="1"/>
  <c r="T168" i="3"/>
  <c r="S168" i="3"/>
  <c r="R168" i="3"/>
  <c r="Q168" i="3"/>
  <c r="P168" i="3"/>
  <c r="O168" i="3"/>
  <c r="F168" i="7" s="1"/>
  <c r="G168" i="7" s="1"/>
  <c r="T167" i="3"/>
  <c r="S167" i="3"/>
  <c r="R167" i="3"/>
  <c r="Q167" i="3"/>
  <c r="P167" i="3"/>
  <c r="O167" i="3"/>
  <c r="F167" i="7" s="1"/>
  <c r="G167" i="7" s="1"/>
  <c r="T166" i="3"/>
  <c r="S166" i="3"/>
  <c r="R166" i="3"/>
  <c r="Q166" i="3"/>
  <c r="P166" i="3"/>
  <c r="O166" i="3"/>
  <c r="F166" i="7" s="1"/>
  <c r="G166" i="7" s="1"/>
  <c r="T165" i="3"/>
  <c r="S165" i="3"/>
  <c r="R165" i="3"/>
  <c r="Q165" i="3"/>
  <c r="P165" i="3"/>
  <c r="O165" i="3"/>
  <c r="F165" i="7" s="1"/>
  <c r="G165" i="7" s="1"/>
  <c r="T164" i="3"/>
  <c r="S164" i="3"/>
  <c r="R164" i="3"/>
  <c r="Q164" i="3"/>
  <c r="P164" i="3"/>
  <c r="O164" i="3"/>
  <c r="F164" i="7" s="1"/>
  <c r="G164" i="7" s="1"/>
  <c r="T163" i="3"/>
  <c r="S163" i="3"/>
  <c r="R163" i="3"/>
  <c r="Q163" i="3"/>
  <c r="P163" i="3"/>
  <c r="O163" i="3"/>
  <c r="F163" i="7" s="1"/>
  <c r="G163" i="7" s="1"/>
  <c r="T162" i="3"/>
  <c r="S162" i="3"/>
  <c r="R162" i="3"/>
  <c r="Q162" i="3"/>
  <c r="P162" i="3"/>
  <c r="O162" i="3"/>
  <c r="F162" i="7" s="1"/>
  <c r="G162" i="7" s="1"/>
  <c r="T161" i="3"/>
  <c r="S161" i="3"/>
  <c r="R161" i="3"/>
  <c r="Q161" i="3"/>
  <c r="P161" i="3"/>
  <c r="O161" i="3"/>
  <c r="F161" i="7" s="1"/>
  <c r="G161" i="7" s="1"/>
  <c r="T160" i="3"/>
  <c r="S160" i="3"/>
  <c r="R160" i="3"/>
  <c r="Q160" i="3"/>
  <c r="P160" i="3"/>
  <c r="O160" i="3"/>
  <c r="F160" i="7" s="1"/>
  <c r="G160" i="7" s="1"/>
  <c r="T159" i="3"/>
  <c r="S159" i="3"/>
  <c r="R159" i="3"/>
  <c r="Q159" i="3"/>
  <c r="P159" i="3"/>
  <c r="O159" i="3"/>
  <c r="F159" i="7" s="1"/>
  <c r="G159" i="7" s="1"/>
  <c r="T158" i="3"/>
  <c r="S158" i="3"/>
  <c r="R158" i="3"/>
  <c r="Q158" i="3"/>
  <c r="P158" i="3"/>
  <c r="O158" i="3"/>
  <c r="F158" i="7" s="1"/>
  <c r="G158" i="7" s="1"/>
  <c r="T157" i="3"/>
  <c r="S157" i="3"/>
  <c r="R157" i="3"/>
  <c r="Q157" i="3"/>
  <c r="P157" i="3"/>
  <c r="O157" i="3"/>
  <c r="F157" i="7" s="1"/>
  <c r="G157" i="7" s="1"/>
  <c r="T156" i="3"/>
  <c r="S156" i="3"/>
  <c r="R156" i="3"/>
  <c r="Q156" i="3"/>
  <c r="P156" i="3"/>
  <c r="O156" i="3"/>
  <c r="F156" i="7" s="1"/>
  <c r="G156" i="7" s="1"/>
  <c r="T155" i="3"/>
  <c r="S155" i="3"/>
  <c r="R155" i="3"/>
  <c r="Q155" i="3"/>
  <c r="P155" i="3"/>
  <c r="O155" i="3"/>
  <c r="F155" i="7" s="1"/>
  <c r="G155" i="7" s="1"/>
  <c r="T154" i="3"/>
  <c r="S154" i="3"/>
  <c r="R154" i="3"/>
  <c r="Q154" i="3"/>
  <c r="P154" i="3"/>
  <c r="O154" i="3"/>
  <c r="F154" i="7" s="1"/>
  <c r="G154" i="7" s="1"/>
  <c r="T153" i="3"/>
  <c r="S153" i="3"/>
  <c r="R153" i="3"/>
  <c r="Q153" i="3"/>
  <c r="P153" i="3"/>
  <c r="O153" i="3"/>
  <c r="F153" i="7" s="1"/>
  <c r="G153" i="7" s="1"/>
  <c r="T152" i="3"/>
  <c r="S152" i="3"/>
  <c r="R152" i="3"/>
  <c r="Q152" i="3"/>
  <c r="P152" i="3"/>
  <c r="O152" i="3"/>
  <c r="F152" i="7" s="1"/>
  <c r="G152" i="7" s="1"/>
  <c r="T151" i="3"/>
  <c r="S151" i="3"/>
  <c r="R151" i="3"/>
  <c r="Q151" i="3"/>
  <c r="P151" i="3"/>
  <c r="O151" i="3"/>
  <c r="F151" i="7" s="1"/>
  <c r="G151" i="7" s="1"/>
  <c r="T150" i="3"/>
  <c r="S150" i="3"/>
  <c r="R150" i="3"/>
  <c r="Q150" i="3"/>
  <c r="P150" i="3"/>
  <c r="O150" i="3"/>
  <c r="F150" i="7" s="1"/>
  <c r="G150" i="7" s="1"/>
  <c r="T149" i="3"/>
  <c r="S149" i="3"/>
  <c r="R149" i="3"/>
  <c r="Q149" i="3"/>
  <c r="P149" i="3"/>
  <c r="O149" i="3"/>
  <c r="F149" i="7" s="1"/>
  <c r="G149" i="7" s="1"/>
  <c r="T148" i="3"/>
  <c r="S148" i="3"/>
  <c r="R148" i="3"/>
  <c r="Q148" i="3"/>
  <c r="P148" i="3"/>
  <c r="O148" i="3"/>
  <c r="F148" i="7" s="1"/>
  <c r="G148" i="7" s="1"/>
  <c r="T147" i="3"/>
  <c r="S147" i="3"/>
  <c r="R147" i="3"/>
  <c r="Q147" i="3"/>
  <c r="P147" i="3"/>
  <c r="O147" i="3"/>
  <c r="F147" i="7" s="1"/>
  <c r="G147" i="7" s="1"/>
  <c r="T146" i="3"/>
  <c r="S146" i="3"/>
  <c r="R146" i="3"/>
  <c r="Q146" i="3"/>
  <c r="P146" i="3"/>
  <c r="O146" i="3"/>
  <c r="F146" i="7" s="1"/>
  <c r="G146" i="7" s="1"/>
  <c r="T145" i="3"/>
  <c r="S145" i="3"/>
  <c r="R145" i="3"/>
  <c r="Q145" i="3"/>
  <c r="P145" i="3"/>
  <c r="O145" i="3"/>
  <c r="F145" i="7" s="1"/>
  <c r="G145" i="7" s="1"/>
  <c r="T144" i="3"/>
  <c r="S144" i="3"/>
  <c r="R144" i="3"/>
  <c r="Q144" i="3"/>
  <c r="P144" i="3"/>
  <c r="O144" i="3"/>
  <c r="F144" i="7" s="1"/>
  <c r="G144" i="7" s="1"/>
  <c r="T143" i="3"/>
  <c r="S143" i="3"/>
  <c r="R143" i="3"/>
  <c r="Q143" i="3"/>
  <c r="P143" i="3"/>
  <c r="O143" i="3"/>
  <c r="F143" i="7" s="1"/>
  <c r="G143" i="7" s="1"/>
  <c r="T142" i="3"/>
  <c r="S142" i="3"/>
  <c r="R142" i="3"/>
  <c r="Q142" i="3"/>
  <c r="P142" i="3"/>
  <c r="O142" i="3"/>
  <c r="F142" i="7" s="1"/>
  <c r="G142" i="7" s="1"/>
  <c r="T141" i="3"/>
  <c r="S141" i="3"/>
  <c r="R141" i="3"/>
  <c r="Q141" i="3"/>
  <c r="P141" i="3"/>
  <c r="O141" i="3"/>
  <c r="F141" i="7" s="1"/>
  <c r="G141" i="7" s="1"/>
  <c r="T140" i="3"/>
  <c r="S140" i="3"/>
  <c r="R140" i="3"/>
  <c r="Q140" i="3"/>
  <c r="P140" i="3"/>
  <c r="O140" i="3"/>
  <c r="F140" i="7" s="1"/>
  <c r="G140" i="7" s="1"/>
  <c r="T139" i="3"/>
  <c r="S139" i="3"/>
  <c r="R139" i="3"/>
  <c r="Q139" i="3"/>
  <c r="P139" i="3"/>
  <c r="O139" i="3"/>
  <c r="F139" i="7" s="1"/>
  <c r="G139" i="7" s="1"/>
  <c r="T138" i="3"/>
  <c r="S138" i="3"/>
  <c r="R138" i="3"/>
  <c r="Q138" i="3"/>
  <c r="P138" i="3"/>
  <c r="O138" i="3"/>
  <c r="F138" i="7" s="1"/>
  <c r="G138" i="7" s="1"/>
  <c r="T137" i="3"/>
  <c r="S137" i="3"/>
  <c r="R137" i="3"/>
  <c r="Q137" i="3"/>
  <c r="P137" i="3"/>
  <c r="O137" i="3"/>
  <c r="F137" i="7" s="1"/>
  <c r="G137" i="7" s="1"/>
  <c r="T136" i="3"/>
  <c r="S136" i="3"/>
  <c r="R136" i="3"/>
  <c r="Q136" i="3"/>
  <c r="P136" i="3"/>
  <c r="O136" i="3"/>
  <c r="F136" i="7" s="1"/>
  <c r="G136" i="7" s="1"/>
  <c r="T135" i="3"/>
  <c r="S135" i="3"/>
  <c r="R135" i="3"/>
  <c r="Q135" i="3"/>
  <c r="P135" i="3"/>
  <c r="O135" i="3"/>
  <c r="F135" i="7" s="1"/>
  <c r="G135" i="7" s="1"/>
  <c r="T134" i="3"/>
  <c r="S134" i="3"/>
  <c r="R134" i="3"/>
  <c r="Q134" i="3"/>
  <c r="P134" i="3"/>
  <c r="O134" i="3"/>
  <c r="F134" i="7" s="1"/>
  <c r="G134" i="7" s="1"/>
  <c r="T133" i="3"/>
  <c r="S133" i="3"/>
  <c r="R133" i="3"/>
  <c r="Q133" i="3"/>
  <c r="P133" i="3"/>
  <c r="O133" i="3"/>
  <c r="F133" i="7" s="1"/>
  <c r="G133" i="7" s="1"/>
  <c r="T132" i="3"/>
  <c r="S132" i="3"/>
  <c r="R132" i="3"/>
  <c r="Q132" i="3"/>
  <c r="P132" i="3"/>
  <c r="O132" i="3"/>
  <c r="F132" i="7" s="1"/>
  <c r="G132" i="7" s="1"/>
  <c r="T131" i="3"/>
  <c r="S131" i="3"/>
  <c r="R131" i="3"/>
  <c r="Q131" i="3"/>
  <c r="P131" i="3"/>
  <c r="O131" i="3"/>
  <c r="F131" i="7" s="1"/>
  <c r="G131" i="7" s="1"/>
  <c r="T130" i="3"/>
  <c r="S130" i="3"/>
  <c r="R130" i="3"/>
  <c r="Q130" i="3"/>
  <c r="P130" i="3"/>
  <c r="O130" i="3"/>
  <c r="F130" i="7" s="1"/>
  <c r="G130" i="7" s="1"/>
  <c r="T129" i="3"/>
  <c r="S129" i="3"/>
  <c r="R129" i="3"/>
  <c r="Q129" i="3"/>
  <c r="P129" i="3"/>
  <c r="O129" i="3"/>
  <c r="F129" i="7" s="1"/>
  <c r="G129" i="7" s="1"/>
  <c r="T128" i="3"/>
  <c r="S128" i="3"/>
  <c r="R128" i="3"/>
  <c r="Q128" i="3"/>
  <c r="P128" i="3"/>
  <c r="O128" i="3"/>
  <c r="F128" i="7" s="1"/>
  <c r="G128" i="7" s="1"/>
  <c r="T127" i="3"/>
  <c r="S127" i="3"/>
  <c r="R127" i="3"/>
  <c r="Q127" i="3"/>
  <c r="P127" i="3"/>
  <c r="O127" i="3"/>
  <c r="F127" i="7" s="1"/>
  <c r="G127" i="7" s="1"/>
  <c r="T126" i="3"/>
  <c r="S126" i="3"/>
  <c r="R126" i="3"/>
  <c r="Q126" i="3"/>
  <c r="P126" i="3"/>
  <c r="O126" i="3"/>
  <c r="F126" i="7" s="1"/>
  <c r="G126" i="7" s="1"/>
  <c r="T125" i="3"/>
  <c r="S125" i="3"/>
  <c r="R125" i="3"/>
  <c r="Q125" i="3"/>
  <c r="P125" i="3"/>
  <c r="O125" i="3"/>
  <c r="F125" i="7" s="1"/>
  <c r="G125" i="7" s="1"/>
  <c r="T124" i="3"/>
  <c r="S124" i="3"/>
  <c r="R124" i="3"/>
  <c r="Q124" i="3"/>
  <c r="P124" i="3"/>
  <c r="O124" i="3"/>
  <c r="F124" i="7" s="1"/>
  <c r="G124" i="7" s="1"/>
  <c r="T123" i="3"/>
  <c r="S123" i="3"/>
  <c r="R123" i="3"/>
  <c r="Q123" i="3"/>
  <c r="P123" i="3"/>
  <c r="O123" i="3"/>
  <c r="F123" i="7" s="1"/>
  <c r="G123" i="7" s="1"/>
  <c r="T122" i="3"/>
  <c r="S122" i="3"/>
  <c r="R122" i="3"/>
  <c r="Q122" i="3"/>
  <c r="P122" i="3"/>
  <c r="O122" i="3"/>
  <c r="F122" i="7" s="1"/>
  <c r="G122" i="7" s="1"/>
  <c r="T121" i="3"/>
  <c r="S121" i="3"/>
  <c r="R121" i="3"/>
  <c r="Q121" i="3"/>
  <c r="P121" i="3"/>
  <c r="O121" i="3"/>
  <c r="F121" i="7" s="1"/>
  <c r="G121" i="7" s="1"/>
  <c r="T120" i="3"/>
  <c r="S120" i="3"/>
  <c r="R120" i="3"/>
  <c r="Q120" i="3"/>
  <c r="P120" i="3"/>
  <c r="O120" i="3"/>
  <c r="F120" i="7" s="1"/>
  <c r="G120" i="7" s="1"/>
  <c r="T119" i="3"/>
  <c r="S119" i="3"/>
  <c r="R119" i="3"/>
  <c r="Q119" i="3"/>
  <c r="P119" i="3"/>
  <c r="O119" i="3"/>
  <c r="F119" i="7" s="1"/>
  <c r="G119" i="7" s="1"/>
  <c r="T118" i="3"/>
  <c r="S118" i="3"/>
  <c r="R118" i="3"/>
  <c r="Q118" i="3"/>
  <c r="P118" i="3"/>
  <c r="O118" i="3"/>
  <c r="F118" i="7" s="1"/>
  <c r="G118" i="7" s="1"/>
  <c r="T117" i="3"/>
  <c r="S117" i="3"/>
  <c r="R117" i="3"/>
  <c r="Q117" i="3"/>
  <c r="P117" i="3"/>
  <c r="O117" i="3"/>
  <c r="F117" i="7" s="1"/>
  <c r="G117" i="7" s="1"/>
  <c r="T116" i="3"/>
  <c r="S116" i="3"/>
  <c r="R116" i="3"/>
  <c r="Q116" i="3"/>
  <c r="P116" i="3"/>
  <c r="O116" i="3"/>
  <c r="F116" i="7" s="1"/>
  <c r="G116" i="7" s="1"/>
  <c r="T115" i="3"/>
  <c r="S115" i="3"/>
  <c r="R115" i="3"/>
  <c r="Q115" i="3"/>
  <c r="P115" i="3"/>
  <c r="O115" i="3"/>
  <c r="F115" i="7" s="1"/>
  <c r="G115" i="7" s="1"/>
  <c r="T114" i="3"/>
  <c r="S114" i="3"/>
  <c r="R114" i="3"/>
  <c r="Q114" i="3"/>
  <c r="P114" i="3"/>
  <c r="O114" i="3"/>
  <c r="F114" i="7" s="1"/>
  <c r="G114" i="7" s="1"/>
  <c r="T113" i="3"/>
  <c r="S113" i="3"/>
  <c r="R113" i="3"/>
  <c r="Q113" i="3"/>
  <c r="P113" i="3"/>
  <c r="O113" i="3"/>
  <c r="F113" i="7" s="1"/>
  <c r="G113" i="7" s="1"/>
  <c r="T112" i="3"/>
  <c r="S112" i="3"/>
  <c r="R112" i="3"/>
  <c r="Q112" i="3"/>
  <c r="P112" i="3"/>
  <c r="O112" i="3"/>
  <c r="F112" i="7" s="1"/>
  <c r="G112" i="7" s="1"/>
  <c r="T111" i="3"/>
  <c r="S111" i="3"/>
  <c r="R111" i="3"/>
  <c r="Q111" i="3"/>
  <c r="P111" i="3"/>
  <c r="O111" i="3"/>
  <c r="F111" i="7" s="1"/>
  <c r="G111" i="7" s="1"/>
  <c r="T110" i="3"/>
  <c r="S110" i="3"/>
  <c r="R110" i="3"/>
  <c r="Q110" i="3"/>
  <c r="P110" i="3"/>
  <c r="O110" i="3"/>
  <c r="F110" i="7" s="1"/>
  <c r="G110" i="7" s="1"/>
  <c r="T109" i="3"/>
  <c r="S109" i="3"/>
  <c r="R109" i="3"/>
  <c r="Q109" i="3"/>
  <c r="P109" i="3"/>
  <c r="O109" i="3"/>
  <c r="F109" i="7" s="1"/>
  <c r="G109" i="7" s="1"/>
  <c r="T108" i="3"/>
  <c r="S108" i="3"/>
  <c r="R108" i="3"/>
  <c r="Q108" i="3"/>
  <c r="P108" i="3"/>
  <c r="O108" i="3"/>
  <c r="F108" i="7" s="1"/>
  <c r="G108" i="7" s="1"/>
  <c r="T107" i="3"/>
  <c r="S107" i="3"/>
  <c r="R107" i="3"/>
  <c r="Q107" i="3"/>
  <c r="P107" i="3"/>
  <c r="O107" i="3"/>
  <c r="F107" i="7" s="1"/>
  <c r="G107" i="7" s="1"/>
  <c r="T106" i="3"/>
  <c r="S106" i="3"/>
  <c r="R106" i="3"/>
  <c r="Q106" i="3"/>
  <c r="P106" i="3"/>
  <c r="O106" i="3"/>
  <c r="F106" i="7" s="1"/>
  <c r="G106" i="7" s="1"/>
  <c r="T105" i="3"/>
  <c r="S105" i="3"/>
  <c r="R105" i="3"/>
  <c r="Q105" i="3"/>
  <c r="P105" i="3"/>
  <c r="O105" i="3"/>
  <c r="F105" i="7" s="1"/>
  <c r="G105" i="7" s="1"/>
  <c r="T104" i="3"/>
  <c r="S104" i="3"/>
  <c r="R104" i="3"/>
  <c r="Q104" i="3"/>
  <c r="P104" i="3"/>
  <c r="O104" i="3"/>
  <c r="F104" i="7" s="1"/>
  <c r="G104" i="7" s="1"/>
  <c r="T103" i="3"/>
  <c r="S103" i="3"/>
  <c r="R103" i="3"/>
  <c r="Q103" i="3"/>
  <c r="P103" i="3"/>
  <c r="O103" i="3"/>
  <c r="F103" i="7" s="1"/>
  <c r="G103" i="7" s="1"/>
  <c r="T102" i="3"/>
  <c r="S102" i="3"/>
  <c r="R102" i="3"/>
  <c r="Q102" i="3"/>
  <c r="P102" i="3"/>
  <c r="O102" i="3"/>
  <c r="F102" i="7" s="1"/>
  <c r="G102" i="7" s="1"/>
  <c r="T101" i="3"/>
  <c r="S101" i="3"/>
  <c r="R101" i="3"/>
  <c r="Q101" i="3"/>
  <c r="P101" i="3"/>
  <c r="O101" i="3"/>
  <c r="F101" i="7" s="1"/>
  <c r="G101" i="7" s="1"/>
  <c r="T100" i="3"/>
  <c r="S100" i="3"/>
  <c r="R100" i="3"/>
  <c r="Q100" i="3"/>
  <c r="P100" i="3"/>
  <c r="O100" i="3"/>
  <c r="F100" i="7" s="1"/>
  <c r="G100" i="7" s="1"/>
  <c r="T99" i="3"/>
  <c r="S99" i="3"/>
  <c r="R99" i="3"/>
  <c r="Q99" i="3"/>
  <c r="P99" i="3"/>
  <c r="O99" i="3"/>
  <c r="F99" i="7" s="1"/>
  <c r="G99" i="7" s="1"/>
  <c r="T98" i="3"/>
  <c r="S98" i="3"/>
  <c r="R98" i="3"/>
  <c r="Q98" i="3"/>
  <c r="P98" i="3"/>
  <c r="O98" i="3"/>
  <c r="F98" i="7" s="1"/>
  <c r="G98" i="7" s="1"/>
  <c r="T97" i="3"/>
  <c r="S97" i="3"/>
  <c r="R97" i="3"/>
  <c r="Q97" i="3"/>
  <c r="P97" i="3"/>
  <c r="O97" i="3"/>
  <c r="F97" i="7" s="1"/>
  <c r="G97" i="7" s="1"/>
  <c r="T96" i="3"/>
  <c r="S96" i="3"/>
  <c r="R96" i="3"/>
  <c r="Q96" i="3"/>
  <c r="P96" i="3"/>
  <c r="O96" i="3"/>
  <c r="F96" i="7" s="1"/>
  <c r="G96" i="7" s="1"/>
  <c r="T95" i="3"/>
  <c r="S95" i="3"/>
  <c r="R95" i="3"/>
  <c r="Q95" i="3"/>
  <c r="P95" i="3"/>
  <c r="O95" i="3"/>
  <c r="F95" i="7" s="1"/>
  <c r="G95" i="7" s="1"/>
  <c r="T94" i="3"/>
  <c r="S94" i="3"/>
  <c r="R94" i="3"/>
  <c r="Q94" i="3"/>
  <c r="P94" i="3"/>
  <c r="O94" i="3"/>
  <c r="F94" i="7" s="1"/>
  <c r="G94" i="7" s="1"/>
  <c r="T93" i="3"/>
  <c r="S93" i="3"/>
  <c r="R93" i="3"/>
  <c r="Q93" i="3"/>
  <c r="P93" i="3"/>
  <c r="O93" i="3"/>
  <c r="F93" i="7" s="1"/>
  <c r="G93" i="7" s="1"/>
  <c r="T92" i="3"/>
  <c r="S92" i="3"/>
  <c r="R92" i="3"/>
  <c r="Q92" i="3"/>
  <c r="P92" i="3"/>
  <c r="O92" i="3"/>
  <c r="F92" i="7" s="1"/>
  <c r="G92" i="7" s="1"/>
  <c r="T91" i="3"/>
  <c r="S91" i="3"/>
  <c r="R91" i="3"/>
  <c r="Q91" i="3"/>
  <c r="P91" i="3"/>
  <c r="O91" i="3"/>
  <c r="F91" i="7" s="1"/>
  <c r="G91" i="7" s="1"/>
  <c r="T90" i="3"/>
  <c r="S90" i="3"/>
  <c r="R90" i="3"/>
  <c r="Q90" i="3"/>
  <c r="P90" i="3"/>
  <c r="O90" i="3"/>
  <c r="F90" i="7" s="1"/>
  <c r="G90" i="7" s="1"/>
  <c r="T89" i="3"/>
  <c r="S89" i="3"/>
  <c r="R89" i="3"/>
  <c r="Q89" i="3"/>
  <c r="P89" i="3"/>
  <c r="O89" i="3"/>
  <c r="F89" i="7" s="1"/>
  <c r="G89" i="7" s="1"/>
  <c r="T88" i="3"/>
  <c r="S88" i="3"/>
  <c r="R88" i="3"/>
  <c r="Q88" i="3"/>
  <c r="P88" i="3"/>
  <c r="O88" i="3"/>
  <c r="F88" i="7" s="1"/>
  <c r="G88" i="7" s="1"/>
  <c r="T87" i="3"/>
  <c r="S87" i="3"/>
  <c r="R87" i="3"/>
  <c r="Q87" i="3"/>
  <c r="P87" i="3"/>
  <c r="O87" i="3"/>
  <c r="F87" i="7" s="1"/>
  <c r="G87" i="7" s="1"/>
  <c r="T86" i="3"/>
  <c r="S86" i="3"/>
  <c r="R86" i="3"/>
  <c r="Q86" i="3"/>
  <c r="P86" i="3"/>
  <c r="O86" i="3"/>
  <c r="F86" i="7" s="1"/>
  <c r="G86" i="7" s="1"/>
  <c r="T85" i="3"/>
  <c r="S85" i="3"/>
  <c r="R85" i="3"/>
  <c r="Q85" i="3"/>
  <c r="P85" i="3"/>
  <c r="O85" i="3"/>
  <c r="F85" i="7" s="1"/>
  <c r="G85" i="7" s="1"/>
  <c r="T84" i="3"/>
  <c r="S84" i="3"/>
  <c r="R84" i="3"/>
  <c r="Q84" i="3"/>
  <c r="P84" i="3"/>
  <c r="O84" i="3"/>
  <c r="F84" i="7" s="1"/>
  <c r="G84" i="7" s="1"/>
  <c r="T83" i="3"/>
  <c r="S83" i="3"/>
  <c r="R83" i="3"/>
  <c r="Q83" i="3"/>
  <c r="P83" i="3"/>
  <c r="O83" i="3"/>
  <c r="F83" i="7" s="1"/>
  <c r="G83" i="7" s="1"/>
  <c r="T82" i="3"/>
  <c r="S82" i="3"/>
  <c r="R82" i="3"/>
  <c r="Q82" i="3"/>
  <c r="P82" i="3"/>
  <c r="O82" i="3"/>
  <c r="F82" i="7" s="1"/>
  <c r="G82" i="7" s="1"/>
  <c r="T81" i="3"/>
  <c r="S81" i="3"/>
  <c r="R81" i="3"/>
  <c r="Q81" i="3"/>
  <c r="P81" i="3"/>
  <c r="O81" i="3"/>
  <c r="F81" i="7" s="1"/>
  <c r="G81" i="7" s="1"/>
  <c r="T80" i="3"/>
  <c r="S80" i="3"/>
  <c r="R80" i="3"/>
  <c r="Q80" i="3"/>
  <c r="P80" i="3"/>
  <c r="O80" i="3"/>
  <c r="F80" i="7" s="1"/>
  <c r="G80" i="7" s="1"/>
  <c r="T79" i="3"/>
  <c r="S79" i="3"/>
  <c r="R79" i="3"/>
  <c r="Q79" i="3"/>
  <c r="P79" i="3"/>
  <c r="O79" i="3"/>
  <c r="F79" i="7" s="1"/>
  <c r="G79" i="7" s="1"/>
  <c r="T78" i="3"/>
  <c r="S78" i="3"/>
  <c r="R78" i="3"/>
  <c r="Q78" i="3"/>
  <c r="P78" i="3"/>
  <c r="O78" i="3"/>
  <c r="F78" i="7" s="1"/>
  <c r="G78" i="7" s="1"/>
  <c r="T77" i="3"/>
  <c r="S77" i="3"/>
  <c r="R77" i="3"/>
  <c r="Q77" i="3"/>
  <c r="P77" i="3"/>
  <c r="O77" i="3"/>
  <c r="F77" i="7" s="1"/>
  <c r="G77" i="7" s="1"/>
  <c r="T76" i="3"/>
  <c r="S76" i="3"/>
  <c r="R76" i="3"/>
  <c r="Q76" i="3"/>
  <c r="P76" i="3"/>
  <c r="O76" i="3"/>
  <c r="F76" i="7" s="1"/>
  <c r="G76" i="7" s="1"/>
  <c r="T75" i="3"/>
  <c r="S75" i="3"/>
  <c r="R75" i="3"/>
  <c r="Q75" i="3"/>
  <c r="P75" i="3"/>
  <c r="O75" i="3"/>
  <c r="F75" i="7" s="1"/>
  <c r="G75" i="7" s="1"/>
  <c r="T74" i="3"/>
  <c r="S74" i="3"/>
  <c r="R74" i="3"/>
  <c r="Q74" i="3"/>
  <c r="P74" i="3"/>
  <c r="O74" i="3"/>
  <c r="F74" i="7" s="1"/>
  <c r="G74" i="7" s="1"/>
  <c r="T73" i="3"/>
  <c r="S73" i="3"/>
  <c r="R73" i="3"/>
  <c r="Q73" i="3"/>
  <c r="P73" i="3"/>
  <c r="O73" i="3"/>
  <c r="F73" i="7" s="1"/>
  <c r="G73" i="7" s="1"/>
  <c r="T72" i="3"/>
  <c r="S72" i="3"/>
  <c r="R72" i="3"/>
  <c r="Q72" i="3"/>
  <c r="P72" i="3"/>
  <c r="O72" i="3"/>
  <c r="F72" i="7" s="1"/>
  <c r="G72" i="7" s="1"/>
  <c r="T71" i="3"/>
  <c r="S71" i="3"/>
  <c r="R71" i="3"/>
  <c r="Q71" i="3"/>
  <c r="P71" i="3"/>
  <c r="O71" i="3"/>
  <c r="F71" i="7" s="1"/>
  <c r="G71" i="7" s="1"/>
  <c r="T70" i="3"/>
  <c r="S70" i="3"/>
  <c r="R70" i="3"/>
  <c r="Q70" i="3"/>
  <c r="P70" i="3"/>
  <c r="O70" i="3"/>
  <c r="F70" i="7" s="1"/>
  <c r="G70" i="7" s="1"/>
  <c r="T69" i="3"/>
  <c r="S69" i="3"/>
  <c r="R69" i="3"/>
  <c r="Q69" i="3"/>
  <c r="P69" i="3"/>
  <c r="O69" i="3"/>
  <c r="F69" i="7" s="1"/>
  <c r="G69" i="7" s="1"/>
  <c r="T68" i="3"/>
  <c r="S68" i="3"/>
  <c r="R68" i="3"/>
  <c r="Q68" i="3"/>
  <c r="P68" i="3"/>
  <c r="O68" i="3"/>
  <c r="F68" i="7" s="1"/>
  <c r="G68" i="7" s="1"/>
  <c r="T67" i="3"/>
  <c r="S67" i="3"/>
  <c r="R67" i="3"/>
  <c r="Q67" i="3"/>
  <c r="P67" i="3"/>
  <c r="O67" i="3"/>
  <c r="F67" i="7" s="1"/>
  <c r="G67" i="7" s="1"/>
  <c r="T66" i="3"/>
  <c r="S66" i="3"/>
  <c r="R66" i="3"/>
  <c r="Q66" i="3"/>
  <c r="P66" i="3"/>
  <c r="O66" i="3"/>
  <c r="F66" i="7" s="1"/>
  <c r="G66" i="7" s="1"/>
  <c r="T65" i="3"/>
  <c r="S65" i="3"/>
  <c r="R65" i="3"/>
  <c r="Q65" i="3"/>
  <c r="P65" i="3"/>
  <c r="O65" i="3"/>
  <c r="F65" i="7" s="1"/>
  <c r="G65" i="7" s="1"/>
  <c r="T64" i="3"/>
  <c r="S64" i="3"/>
  <c r="R64" i="3"/>
  <c r="Q64" i="3"/>
  <c r="P64" i="3"/>
  <c r="O64" i="3"/>
  <c r="F64" i="7" s="1"/>
  <c r="G64" i="7" s="1"/>
  <c r="T63" i="3"/>
  <c r="S63" i="3"/>
  <c r="R63" i="3"/>
  <c r="Q63" i="3"/>
  <c r="P63" i="3"/>
  <c r="O63" i="3"/>
  <c r="F63" i="7" s="1"/>
  <c r="G63" i="7" s="1"/>
  <c r="T62" i="3"/>
  <c r="S62" i="3"/>
  <c r="R62" i="3"/>
  <c r="Q62" i="3"/>
  <c r="P62" i="3"/>
  <c r="O62" i="3"/>
  <c r="F62" i="7" s="1"/>
  <c r="G62" i="7" s="1"/>
  <c r="T61" i="3"/>
  <c r="S61" i="3"/>
  <c r="R61" i="3"/>
  <c r="Q61" i="3"/>
  <c r="P61" i="3"/>
  <c r="O61" i="3"/>
  <c r="F61" i="7" s="1"/>
  <c r="G61" i="7" s="1"/>
  <c r="T60" i="3"/>
  <c r="S60" i="3"/>
  <c r="R60" i="3"/>
  <c r="Q60" i="3"/>
  <c r="P60" i="3"/>
  <c r="O60" i="3"/>
  <c r="F60" i="7" s="1"/>
  <c r="G60" i="7" s="1"/>
  <c r="T59" i="3"/>
  <c r="S59" i="3"/>
  <c r="R59" i="3"/>
  <c r="Q59" i="3"/>
  <c r="P59" i="3"/>
  <c r="O59" i="3"/>
  <c r="F59" i="7" s="1"/>
  <c r="G59" i="7" s="1"/>
  <c r="T58" i="3"/>
  <c r="S58" i="3"/>
  <c r="R58" i="3"/>
  <c r="Q58" i="3"/>
  <c r="P58" i="3"/>
  <c r="O58" i="3"/>
  <c r="F58" i="7" s="1"/>
  <c r="G58" i="7" s="1"/>
  <c r="T57" i="3"/>
  <c r="S57" i="3"/>
  <c r="R57" i="3"/>
  <c r="Q57" i="3"/>
  <c r="P57" i="3"/>
  <c r="O57" i="3"/>
  <c r="F57" i="7" s="1"/>
  <c r="G57" i="7" s="1"/>
  <c r="T56" i="3"/>
  <c r="S56" i="3"/>
  <c r="R56" i="3"/>
  <c r="Q56" i="3"/>
  <c r="P56" i="3"/>
  <c r="O56" i="3"/>
  <c r="F56" i="7" s="1"/>
  <c r="G56" i="7" s="1"/>
  <c r="T55" i="3"/>
  <c r="S55" i="3"/>
  <c r="R55" i="3"/>
  <c r="Q55" i="3"/>
  <c r="P55" i="3"/>
  <c r="O55" i="3"/>
  <c r="F55" i="7" s="1"/>
  <c r="G55" i="7" s="1"/>
  <c r="T54" i="3"/>
  <c r="S54" i="3"/>
  <c r="R54" i="3"/>
  <c r="Q54" i="3"/>
  <c r="P54" i="3"/>
  <c r="O54" i="3"/>
  <c r="F54" i="7" s="1"/>
  <c r="G54" i="7" s="1"/>
  <c r="T53" i="3"/>
  <c r="S53" i="3"/>
  <c r="R53" i="3"/>
  <c r="Q53" i="3"/>
  <c r="P53" i="3"/>
  <c r="O53" i="3"/>
  <c r="F53" i="7" s="1"/>
  <c r="G53" i="7" s="1"/>
  <c r="T52" i="3"/>
  <c r="S52" i="3"/>
  <c r="R52" i="3"/>
  <c r="Q52" i="3"/>
  <c r="P52" i="3"/>
  <c r="O52" i="3"/>
  <c r="F52" i="7" s="1"/>
  <c r="G52" i="7" s="1"/>
  <c r="T51" i="3"/>
  <c r="S51" i="3"/>
  <c r="R51" i="3"/>
  <c r="Q51" i="3"/>
  <c r="P51" i="3"/>
  <c r="O51" i="3"/>
  <c r="F51" i="7" s="1"/>
  <c r="G51" i="7" s="1"/>
  <c r="T50" i="3"/>
  <c r="S50" i="3"/>
  <c r="R50" i="3"/>
  <c r="Q50" i="3"/>
  <c r="P50" i="3"/>
  <c r="O50" i="3"/>
  <c r="F50" i="7" s="1"/>
  <c r="G50" i="7" s="1"/>
  <c r="T49" i="3"/>
  <c r="S49" i="3"/>
  <c r="R49" i="3"/>
  <c r="Q49" i="3"/>
  <c r="P49" i="3"/>
  <c r="O49" i="3"/>
  <c r="F49" i="7" s="1"/>
  <c r="G49" i="7" s="1"/>
  <c r="T48" i="3"/>
  <c r="S48" i="3"/>
  <c r="R48" i="3"/>
  <c r="Q48" i="3"/>
  <c r="P48" i="3"/>
  <c r="O48" i="3"/>
  <c r="F48" i="7" s="1"/>
  <c r="G48" i="7" s="1"/>
  <c r="T47" i="3"/>
  <c r="S47" i="3"/>
  <c r="R47" i="3"/>
  <c r="Q47" i="3"/>
  <c r="P47" i="3"/>
  <c r="O47" i="3"/>
  <c r="F47" i="7" s="1"/>
  <c r="G47" i="7" s="1"/>
  <c r="T46" i="3"/>
  <c r="S46" i="3"/>
  <c r="R46" i="3"/>
  <c r="Q46" i="3"/>
  <c r="P46" i="3"/>
  <c r="O46" i="3"/>
  <c r="F46" i="7" s="1"/>
  <c r="G46" i="7" s="1"/>
  <c r="T45" i="3"/>
  <c r="S45" i="3"/>
  <c r="R45" i="3"/>
  <c r="Q45" i="3"/>
  <c r="P45" i="3"/>
  <c r="O45" i="3"/>
  <c r="F45" i="7" s="1"/>
  <c r="G45" i="7" s="1"/>
  <c r="T44" i="3"/>
  <c r="S44" i="3"/>
  <c r="R44" i="3"/>
  <c r="Q44" i="3"/>
  <c r="P44" i="3"/>
  <c r="O44" i="3"/>
  <c r="F44" i="7" s="1"/>
  <c r="G44" i="7" s="1"/>
  <c r="T43" i="3"/>
  <c r="S43" i="3"/>
  <c r="R43" i="3"/>
  <c r="Q43" i="3"/>
  <c r="P43" i="3"/>
  <c r="O43" i="3"/>
  <c r="F43" i="7" s="1"/>
  <c r="G43" i="7" s="1"/>
  <c r="T42" i="3"/>
  <c r="S42" i="3"/>
  <c r="R42" i="3"/>
  <c r="Q42" i="3"/>
  <c r="P42" i="3"/>
  <c r="O42" i="3"/>
  <c r="F42" i="7" s="1"/>
  <c r="G42" i="7" s="1"/>
  <c r="T41" i="3"/>
  <c r="S41" i="3"/>
  <c r="R41" i="3"/>
  <c r="Q41" i="3"/>
  <c r="P41" i="3"/>
  <c r="O41" i="3"/>
  <c r="F41" i="7" s="1"/>
  <c r="G41" i="7" s="1"/>
  <c r="T40" i="3"/>
  <c r="S40" i="3"/>
  <c r="R40" i="3"/>
  <c r="Q40" i="3"/>
  <c r="P40" i="3"/>
  <c r="O40" i="3"/>
  <c r="F40" i="7" s="1"/>
  <c r="G40" i="7" s="1"/>
  <c r="T39" i="3"/>
  <c r="S39" i="3"/>
  <c r="R39" i="3"/>
  <c r="Q39" i="3"/>
  <c r="P39" i="3"/>
  <c r="O39" i="3"/>
  <c r="F39" i="7" s="1"/>
  <c r="G39" i="7" s="1"/>
  <c r="T38" i="3"/>
  <c r="S38" i="3"/>
  <c r="R38" i="3"/>
  <c r="Q38" i="3"/>
  <c r="P38" i="3"/>
  <c r="O38" i="3"/>
  <c r="F38" i="7" s="1"/>
  <c r="G38" i="7" s="1"/>
  <c r="T37" i="3"/>
  <c r="S37" i="3"/>
  <c r="R37" i="3"/>
  <c r="Q37" i="3"/>
  <c r="P37" i="3"/>
  <c r="O37" i="3"/>
  <c r="F37" i="7" s="1"/>
  <c r="G37" i="7" s="1"/>
  <c r="T36" i="3"/>
  <c r="S36" i="3"/>
  <c r="R36" i="3"/>
  <c r="Q36" i="3"/>
  <c r="P36" i="3"/>
  <c r="O36" i="3"/>
  <c r="F36" i="7" s="1"/>
  <c r="G36" i="7" s="1"/>
  <c r="T35" i="3"/>
  <c r="S35" i="3"/>
  <c r="R35" i="3"/>
  <c r="Q35" i="3"/>
  <c r="P35" i="3"/>
  <c r="O35" i="3"/>
  <c r="F35" i="7" s="1"/>
  <c r="G35" i="7" s="1"/>
  <c r="T34" i="3"/>
  <c r="S34" i="3"/>
  <c r="R34" i="3"/>
  <c r="Q34" i="3"/>
  <c r="P34" i="3"/>
  <c r="O34" i="3"/>
  <c r="F34" i="7" s="1"/>
  <c r="G34" i="7" s="1"/>
  <c r="T33" i="3"/>
  <c r="S33" i="3"/>
  <c r="R33" i="3"/>
  <c r="Q33" i="3"/>
  <c r="P33" i="3"/>
  <c r="O33" i="3"/>
  <c r="F33" i="7" s="1"/>
  <c r="G33" i="7" s="1"/>
  <c r="T32" i="3"/>
  <c r="S32" i="3"/>
  <c r="R32" i="3"/>
  <c r="Q32" i="3"/>
  <c r="P32" i="3"/>
  <c r="O32" i="3"/>
  <c r="F32" i="7" s="1"/>
  <c r="G32" i="7" s="1"/>
  <c r="T31" i="3"/>
  <c r="S31" i="3"/>
  <c r="R31" i="3"/>
  <c r="Q31" i="3"/>
  <c r="P31" i="3"/>
  <c r="O31" i="3"/>
  <c r="F31" i="7" s="1"/>
  <c r="G31" i="7" s="1"/>
  <c r="T30" i="3"/>
  <c r="S30" i="3"/>
  <c r="R30" i="3"/>
  <c r="Q30" i="3"/>
  <c r="P30" i="3"/>
  <c r="O30" i="3"/>
  <c r="F30" i="7" s="1"/>
  <c r="G30" i="7" s="1"/>
  <c r="T29" i="3"/>
  <c r="S29" i="3"/>
  <c r="R29" i="3"/>
  <c r="Q29" i="3"/>
  <c r="P29" i="3"/>
  <c r="O29" i="3"/>
  <c r="F29" i="7" s="1"/>
  <c r="G29" i="7" s="1"/>
  <c r="T28" i="3"/>
  <c r="S28" i="3"/>
  <c r="R28" i="3"/>
  <c r="Q28" i="3"/>
  <c r="P28" i="3"/>
  <c r="O28" i="3"/>
  <c r="F28" i="7" s="1"/>
  <c r="G28" i="7" s="1"/>
  <c r="T27" i="3"/>
  <c r="S27" i="3"/>
  <c r="R27" i="3"/>
  <c r="Q27" i="3"/>
  <c r="P27" i="3"/>
  <c r="O27" i="3"/>
  <c r="F27" i="7" s="1"/>
  <c r="G27" i="7" s="1"/>
  <c r="T26" i="3"/>
  <c r="S26" i="3"/>
  <c r="R26" i="3"/>
  <c r="Q26" i="3"/>
  <c r="P26" i="3"/>
  <c r="O26" i="3"/>
  <c r="F26" i="7" s="1"/>
  <c r="G26" i="7" s="1"/>
  <c r="T25" i="3"/>
  <c r="S25" i="3"/>
  <c r="R25" i="3"/>
  <c r="Q25" i="3"/>
  <c r="P25" i="3"/>
  <c r="O25" i="3"/>
  <c r="F25" i="7" s="1"/>
  <c r="G25" i="7" s="1"/>
  <c r="T24" i="3"/>
  <c r="S24" i="3"/>
  <c r="R24" i="3"/>
  <c r="Q24" i="3"/>
  <c r="P24" i="3"/>
  <c r="O24" i="3"/>
  <c r="F24" i="7" s="1"/>
  <c r="G24" i="7" s="1"/>
  <c r="T23" i="3"/>
  <c r="S23" i="3"/>
  <c r="R23" i="3"/>
  <c r="Q23" i="3"/>
  <c r="P23" i="3"/>
  <c r="O23" i="3"/>
  <c r="F23" i="7" s="1"/>
  <c r="G23" i="7" s="1"/>
  <c r="T22" i="3"/>
  <c r="S22" i="3"/>
  <c r="R22" i="3"/>
  <c r="Q22" i="3"/>
  <c r="P22" i="3"/>
  <c r="O22" i="3"/>
  <c r="F22" i="7" s="1"/>
  <c r="G22" i="7" s="1"/>
  <c r="T21" i="3"/>
  <c r="S21" i="3"/>
  <c r="R21" i="3"/>
  <c r="Q21" i="3"/>
  <c r="P21" i="3"/>
  <c r="O21" i="3"/>
  <c r="F21" i="7" s="1"/>
  <c r="G21" i="7" s="1"/>
  <c r="T20" i="3"/>
  <c r="S20" i="3"/>
  <c r="R20" i="3"/>
  <c r="Q20" i="3"/>
  <c r="P20" i="3"/>
  <c r="O20" i="3"/>
  <c r="F20" i="7" s="1"/>
  <c r="G20" i="7" s="1"/>
  <c r="T19" i="3"/>
  <c r="S19" i="3"/>
  <c r="R19" i="3"/>
  <c r="Q19" i="3"/>
  <c r="P19" i="3"/>
  <c r="O19" i="3"/>
  <c r="F19" i="7" s="1"/>
  <c r="G19" i="7" s="1"/>
  <c r="T18" i="3"/>
  <c r="S18" i="3"/>
  <c r="R18" i="3"/>
  <c r="Q18" i="3"/>
  <c r="P18" i="3"/>
  <c r="O18" i="3"/>
  <c r="F18" i="7" s="1"/>
  <c r="G18" i="7" s="1"/>
  <c r="T17" i="3"/>
  <c r="S17" i="3"/>
  <c r="R17" i="3"/>
  <c r="Q17" i="3"/>
  <c r="P17" i="3"/>
  <c r="O17" i="3"/>
  <c r="F17" i="7" s="1"/>
  <c r="G17" i="7" s="1"/>
  <c r="T16" i="3"/>
  <c r="S16" i="3"/>
  <c r="R16" i="3"/>
  <c r="Q16" i="3"/>
  <c r="P16" i="3"/>
  <c r="O16" i="3"/>
  <c r="F16" i="7" s="1"/>
  <c r="G16" i="7" s="1"/>
  <c r="T15" i="3"/>
  <c r="S15" i="3"/>
  <c r="R15" i="3"/>
  <c r="Q15" i="3"/>
  <c r="P15" i="3"/>
  <c r="O15" i="3"/>
  <c r="F15" i="7" s="1"/>
  <c r="G15" i="7" s="1"/>
  <c r="T14" i="3"/>
  <c r="S14" i="3"/>
  <c r="R14" i="3"/>
  <c r="Q14" i="3"/>
  <c r="P14" i="3"/>
  <c r="O14" i="3"/>
  <c r="F14" i="7" s="1"/>
  <c r="G14" i="7" s="1"/>
  <c r="T13" i="3"/>
  <c r="S13" i="3"/>
  <c r="R13" i="3"/>
  <c r="Q13" i="3"/>
  <c r="P13" i="3"/>
  <c r="O13" i="3"/>
  <c r="F13" i="7" s="1"/>
  <c r="G13" i="7" s="1"/>
  <c r="T12" i="3"/>
  <c r="S12" i="3"/>
  <c r="R12" i="3"/>
  <c r="Q12" i="3"/>
  <c r="P12" i="3"/>
  <c r="O12" i="3"/>
  <c r="F12" i="7" s="1"/>
  <c r="G12" i="7" s="1"/>
  <c r="T11" i="3"/>
  <c r="S11" i="3"/>
  <c r="R11" i="3"/>
  <c r="Q11" i="3"/>
  <c r="P11" i="3"/>
  <c r="O11" i="3"/>
  <c r="F11" i="7" s="1"/>
  <c r="G11" i="7" s="1"/>
  <c r="T10" i="3"/>
  <c r="S10" i="3"/>
  <c r="R10" i="3"/>
  <c r="Q10" i="3"/>
  <c r="P10" i="3"/>
  <c r="O10" i="3"/>
  <c r="F10" i="7" s="1"/>
  <c r="G10" i="7" s="1"/>
  <c r="T9" i="3"/>
  <c r="S9" i="3"/>
  <c r="R9" i="3"/>
  <c r="Q9" i="3"/>
  <c r="P9" i="3"/>
  <c r="O9" i="3"/>
  <c r="F9" i="7" s="1"/>
  <c r="G9" i="7" s="1"/>
  <c r="T8" i="3"/>
  <c r="S8" i="3"/>
  <c r="R8" i="3"/>
  <c r="Q8" i="3"/>
  <c r="P8" i="3"/>
  <c r="O8" i="3"/>
  <c r="F8" i="7" s="1"/>
  <c r="G8" i="7" s="1"/>
  <c r="T7" i="3"/>
  <c r="S7" i="3"/>
  <c r="R7" i="3"/>
  <c r="Q7" i="3"/>
  <c r="P7" i="3"/>
  <c r="O7" i="3"/>
  <c r="F7" i="7" s="1"/>
  <c r="G7" i="7" s="1"/>
  <c r="T6" i="3"/>
  <c r="S6" i="3"/>
  <c r="R6" i="3"/>
  <c r="Q6" i="3"/>
  <c r="P6" i="3"/>
  <c r="O6" i="3"/>
  <c r="F6" i="7" s="1"/>
  <c r="G6" i="7" s="1"/>
  <c r="T5" i="3"/>
  <c r="S5" i="3"/>
  <c r="R5" i="3"/>
  <c r="Q5" i="3"/>
  <c r="P5" i="3"/>
  <c r="O5" i="3"/>
  <c r="F5" i="7" s="1"/>
  <c r="G5" i="7" s="1"/>
  <c r="T4" i="3"/>
  <c r="S4" i="3"/>
  <c r="R4" i="3"/>
  <c r="Q4" i="3"/>
  <c r="P4" i="3"/>
  <c r="O4" i="3"/>
  <c r="F4" i="7" s="1"/>
  <c r="G4" i="7" s="1"/>
  <c r="T3" i="3"/>
  <c r="S3" i="3"/>
  <c r="R3" i="3"/>
  <c r="Q3" i="3"/>
  <c r="P3" i="3"/>
  <c r="O3" i="3"/>
  <c r="F3" i="7" s="1"/>
  <c r="G3" i="7" s="1"/>
  <c r="T2" i="3"/>
  <c r="S2" i="3"/>
  <c r="R2" i="3"/>
  <c r="Q2" i="3"/>
  <c r="P2" i="3"/>
  <c r="O2" i="3"/>
  <c r="F2" i="7" s="1"/>
  <c r="G2" i="7" s="1"/>
  <c r="I2" i="7" l="1"/>
  <c r="H2" i="7"/>
  <c r="I3" i="7"/>
  <c r="H3" i="7"/>
  <c r="I4" i="7"/>
  <c r="H4" i="7"/>
  <c r="I5" i="7"/>
  <c r="H5" i="7"/>
  <c r="I6" i="7"/>
  <c r="H6" i="7"/>
  <c r="I7" i="7"/>
  <c r="H7" i="7"/>
  <c r="I8" i="7"/>
  <c r="H8" i="7"/>
  <c r="I9" i="7"/>
  <c r="H9" i="7"/>
  <c r="I10" i="7"/>
  <c r="H10" i="7"/>
  <c r="I11" i="7"/>
  <c r="H11" i="7"/>
  <c r="I12" i="7"/>
  <c r="H12" i="7"/>
  <c r="I13" i="7"/>
  <c r="H13" i="7"/>
  <c r="I14" i="7"/>
  <c r="H14" i="7"/>
  <c r="I15" i="7"/>
  <c r="H15" i="7"/>
  <c r="I16" i="7"/>
  <c r="H16" i="7"/>
  <c r="I17" i="7"/>
  <c r="H17" i="7"/>
  <c r="I18" i="7"/>
  <c r="H18" i="7"/>
  <c r="I19" i="7"/>
  <c r="H19" i="7"/>
  <c r="I20" i="7"/>
  <c r="H20" i="7"/>
  <c r="I21" i="7"/>
  <c r="H21" i="7"/>
  <c r="I22" i="7"/>
  <c r="H22" i="7"/>
  <c r="I23" i="7"/>
  <c r="H23" i="7"/>
  <c r="I24" i="7"/>
  <c r="H24" i="7"/>
  <c r="I25" i="7"/>
  <c r="H25" i="7"/>
  <c r="I26" i="7"/>
  <c r="H26" i="7"/>
  <c r="I27" i="7"/>
  <c r="H27" i="7"/>
  <c r="I28" i="7"/>
  <c r="H28" i="7"/>
  <c r="I29" i="7"/>
  <c r="H29" i="7"/>
  <c r="I30" i="7"/>
  <c r="H30" i="7"/>
  <c r="I31" i="7"/>
  <c r="H31" i="7"/>
  <c r="I32" i="7"/>
  <c r="H32" i="7"/>
  <c r="I33" i="7"/>
  <c r="H33" i="7"/>
  <c r="I34" i="7"/>
  <c r="H34" i="7"/>
  <c r="I35" i="7"/>
  <c r="H35" i="7"/>
  <c r="I36" i="7"/>
  <c r="H36" i="7"/>
  <c r="I37" i="7"/>
  <c r="H37" i="7"/>
  <c r="I38" i="7"/>
  <c r="H38" i="7"/>
  <c r="I39" i="7"/>
  <c r="H39" i="7"/>
  <c r="I40" i="7"/>
  <c r="H40" i="7"/>
  <c r="I41" i="7"/>
  <c r="H41" i="7"/>
  <c r="I42" i="7"/>
  <c r="H42" i="7"/>
  <c r="I43" i="7"/>
  <c r="H43" i="7"/>
  <c r="I44" i="7"/>
  <c r="H44" i="7"/>
  <c r="I45" i="7"/>
  <c r="H45" i="7"/>
  <c r="I46" i="7"/>
  <c r="H46" i="7"/>
  <c r="I47" i="7"/>
  <c r="H47" i="7"/>
  <c r="I48" i="7"/>
  <c r="H48" i="7"/>
  <c r="I49" i="7"/>
  <c r="H49" i="7"/>
  <c r="I50" i="7"/>
  <c r="H50" i="7"/>
  <c r="I51" i="7"/>
  <c r="H51" i="7"/>
  <c r="I52" i="7"/>
  <c r="H52" i="7"/>
  <c r="I53" i="7"/>
  <c r="H53" i="7"/>
  <c r="I54" i="7"/>
  <c r="H54" i="7"/>
  <c r="I55" i="7"/>
  <c r="H55" i="7"/>
  <c r="I56" i="7"/>
  <c r="H56" i="7"/>
  <c r="I57" i="7"/>
  <c r="H57" i="7"/>
  <c r="I58" i="7"/>
  <c r="H58" i="7"/>
  <c r="I59" i="7"/>
  <c r="H59" i="7"/>
  <c r="I60" i="7"/>
  <c r="H60" i="7"/>
  <c r="I61" i="7"/>
  <c r="H61" i="7"/>
  <c r="I62" i="7"/>
  <c r="H62" i="7"/>
  <c r="I63" i="7"/>
  <c r="H63" i="7"/>
  <c r="I64" i="7"/>
  <c r="H64" i="7"/>
  <c r="I65" i="7"/>
  <c r="H65" i="7"/>
  <c r="I66" i="7"/>
  <c r="H66" i="7"/>
  <c r="I67" i="7"/>
  <c r="H67" i="7"/>
  <c r="I68" i="7"/>
  <c r="H68" i="7"/>
  <c r="I69" i="7"/>
  <c r="H69" i="7"/>
  <c r="I70" i="7"/>
  <c r="H70" i="7"/>
  <c r="I71" i="7"/>
  <c r="H71" i="7"/>
  <c r="I72" i="7"/>
  <c r="H72" i="7"/>
  <c r="I73" i="7"/>
  <c r="H73" i="7"/>
  <c r="I74" i="7"/>
  <c r="H74" i="7"/>
  <c r="I75" i="7"/>
  <c r="H75" i="7"/>
  <c r="I76" i="7"/>
  <c r="H76" i="7"/>
  <c r="I77" i="7"/>
  <c r="H77" i="7"/>
  <c r="I78" i="7"/>
  <c r="H78" i="7"/>
  <c r="I79" i="7"/>
  <c r="H79" i="7"/>
  <c r="I80" i="7"/>
  <c r="H80" i="7"/>
  <c r="I81" i="7"/>
  <c r="H81" i="7"/>
  <c r="I82" i="7"/>
  <c r="H82" i="7"/>
  <c r="I83" i="7"/>
  <c r="H83" i="7"/>
  <c r="I84" i="7"/>
  <c r="H84" i="7"/>
  <c r="I85" i="7"/>
  <c r="H85" i="7"/>
  <c r="I86" i="7"/>
  <c r="H86" i="7"/>
  <c r="I87" i="7"/>
  <c r="H87" i="7"/>
  <c r="I88" i="7"/>
  <c r="H88" i="7"/>
  <c r="I89" i="7"/>
  <c r="H89" i="7"/>
  <c r="I90" i="7"/>
  <c r="H90" i="7"/>
  <c r="I91" i="7"/>
  <c r="H91" i="7"/>
  <c r="I92" i="7"/>
  <c r="H92" i="7"/>
  <c r="I93" i="7"/>
  <c r="H93" i="7"/>
  <c r="I94" i="7"/>
  <c r="H94" i="7"/>
  <c r="I95" i="7"/>
  <c r="H95" i="7"/>
  <c r="I96" i="7"/>
  <c r="H96" i="7"/>
  <c r="I97" i="7"/>
  <c r="H97" i="7"/>
  <c r="I98" i="7"/>
  <c r="H98" i="7"/>
  <c r="I99" i="7"/>
  <c r="H99" i="7"/>
  <c r="I100" i="7"/>
  <c r="H100" i="7"/>
  <c r="I101" i="7"/>
  <c r="H101" i="7"/>
  <c r="I102" i="7"/>
  <c r="H102" i="7"/>
  <c r="I103" i="7"/>
  <c r="H103" i="7"/>
  <c r="I104" i="7"/>
  <c r="H104" i="7"/>
  <c r="I105" i="7"/>
  <c r="H105" i="7"/>
  <c r="I106" i="7"/>
  <c r="H106" i="7"/>
  <c r="I107" i="7"/>
  <c r="H107" i="7"/>
  <c r="I108" i="7"/>
  <c r="H108" i="7"/>
  <c r="I109" i="7"/>
  <c r="H109" i="7"/>
  <c r="I110" i="7"/>
  <c r="H110" i="7"/>
  <c r="I111" i="7"/>
  <c r="H111" i="7"/>
  <c r="I112" i="7"/>
  <c r="H112" i="7"/>
  <c r="I113" i="7"/>
  <c r="H113" i="7"/>
  <c r="I114" i="7"/>
  <c r="H114" i="7"/>
  <c r="I115" i="7"/>
  <c r="H115" i="7"/>
  <c r="I116" i="7"/>
  <c r="H116" i="7"/>
  <c r="I117" i="7"/>
  <c r="H117" i="7"/>
  <c r="I118" i="7"/>
  <c r="H118" i="7"/>
  <c r="I119" i="7"/>
  <c r="H119" i="7"/>
  <c r="I120" i="7"/>
  <c r="H120" i="7"/>
  <c r="I121" i="7"/>
  <c r="H121" i="7"/>
  <c r="I122" i="7"/>
  <c r="H122" i="7"/>
  <c r="I123" i="7"/>
  <c r="H123" i="7"/>
  <c r="I124" i="7"/>
  <c r="H124" i="7"/>
  <c r="I125" i="7"/>
  <c r="H125" i="7"/>
  <c r="I126" i="7"/>
  <c r="H126" i="7"/>
  <c r="I127" i="7"/>
  <c r="H127" i="7"/>
  <c r="I128" i="7"/>
  <c r="H128" i="7"/>
  <c r="I129" i="7"/>
  <c r="H129" i="7"/>
  <c r="I130" i="7"/>
  <c r="H130" i="7"/>
  <c r="I131" i="7"/>
  <c r="H131" i="7"/>
  <c r="I132" i="7"/>
  <c r="H132" i="7"/>
  <c r="I133" i="7"/>
  <c r="H133" i="7"/>
  <c r="I134" i="7"/>
  <c r="H134" i="7"/>
  <c r="I135" i="7"/>
  <c r="H135" i="7"/>
  <c r="I136" i="7"/>
  <c r="H136" i="7"/>
  <c r="I137" i="7"/>
  <c r="H137" i="7"/>
  <c r="I138" i="7"/>
  <c r="H138" i="7"/>
  <c r="I139" i="7"/>
  <c r="H139" i="7"/>
  <c r="I140" i="7"/>
  <c r="H140" i="7"/>
  <c r="I141" i="7"/>
  <c r="H141" i="7"/>
  <c r="I142" i="7"/>
  <c r="H142" i="7"/>
  <c r="I143" i="7"/>
  <c r="H143" i="7"/>
  <c r="I144" i="7"/>
  <c r="H144" i="7"/>
  <c r="I145" i="7"/>
  <c r="H145" i="7"/>
  <c r="I146" i="7"/>
  <c r="H146" i="7"/>
  <c r="I147" i="7"/>
  <c r="H147" i="7"/>
  <c r="I148" i="7"/>
  <c r="H148" i="7"/>
  <c r="I149" i="7"/>
  <c r="H149" i="7"/>
  <c r="I150" i="7"/>
  <c r="H150" i="7"/>
  <c r="I151" i="7"/>
  <c r="H151" i="7"/>
  <c r="I152" i="7"/>
  <c r="H152" i="7"/>
  <c r="I153" i="7"/>
  <c r="H153" i="7"/>
  <c r="I154" i="7"/>
  <c r="H154" i="7"/>
  <c r="I155" i="7"/>
  <c r="H155" i="7"/>
  <c r="I156" i="7"/>
  <c r="H156" i="7"/>
  <c r="I157" i="7"/>
  <c r="H157" i="7"/>
  <c r="I158" i="7"/>
  <c r="H158" i="7"/>
  <c r="I159" i="7"/>
  <c r="H159" i="7"/>
  <c r="I160" i="7"/>
  <c r="H160" i="7"/>
  <c r="I161" i="7"/>
  <c r="H161" i="7"/>
  <c r="I162" i="7"/>
  <c r="H162" i="7"/>
  <c r="I163" i="7"/>
  <c r="H163" i="7"/>
  <c r="I164" i="7"/>
  <c r="H164" i="7"/>
  <c r="I165" i="7"/>
  <c r="H165" i="7"/>
  <c r="I166" i="7"/>
  <c r="H166" i="7"/>
  <c r="I167" i="7"/>
  <c r="H167" i="7"/>
  <c r="I168" i="7"/>
  <c r="H168" i="7"/>
  <c r="I169" i="7"/>
  <c r="H169" i="7"/>
  <c r="I170" i="7"/>
  <c r="H170" i="7"/>
  <c r="I171" i="7"/>
  <c r="H171" i="7"/>
  <c r="I172" i="7"/>
  <c r="H172" i="7"/>
  <c r="I173" i="7"/>
  <c r="H173" i="7"/>
  <c r="I174" i="7"/>
  <c r="H174" i="7"/>
  <c r="I175" i="7"/>
  <c r="H175" i="7"/>
  <c r="I176" i="7"/>
  <c r="H176" i="7"/>
  <c r="I177" i="7"/>
  <c r="H177" i="7"/>
  <c r="I178" i="7"/>
  <c r="H178" i="7"/>
  <c r="I179" i="7"/>
  <c r="H179" i="7"/>
  <c r="I180" i="7"/>
  <c r="H180" i="7"/>
  <c r="I181" i="7"/>
  <c r="H181" i="7"/>
  <c r="I182" i="7"/>
  <c r="H182" i="7"/>
  <c r="I183" i="7"/>
  <c r="H183" i="7"/>
  <c r="I184" i="7"/>
  <c r="H184" i="7"/>
  <c r="I185" i="7"/>
  <c r="H185" i="7"/>
  <c r="I186" i="7"/>
  <c r="H186" i="7"/>
  <c r="I187" i="7"/>
  <c r="H187" i="7"/>
  <c r="I188" i="7"/>
  <c r="H188" i="7"/>
  <c r="I189" i="7"/>
  <c r="H189" i="7"/>
  <c r="I190" i="7"/>
  <c r="H190" i="7"/>
  <c r="I191" i="7"/>
  <c r="H191" i="7"/>
  <c r="I192" i="7"/>
  <c r="H192" i="7"/>
  <c r="I193" i="7"/>
  <c r="H193" i="7"/>
  <c r="I194" i="7"/>
  <c r="H194" i="7"/>
  <c r="I195" i="7"/>
  <c r="H195" i="7"/>
  <c r="I196" i="7"/>
  <c r="H196" i="7"/>
  <c r="I197" i="7"/>
  <c r="H197" i="7"/>
  <c r="I198" i="7"/>
  <c r="H198" i="7"/>
  <c r="I199" i="7"/>
  <c r="H199" i="7"/>
  <c r="I200" i="7"/>
  <c r="H200" i="7"/>
  <c r="I201" i="7"/>
  <c r="H201" i="7"/>
  <c r="I202" i="7"/>
  <c r="H202" i="7"/>
  <c r="I203" i="7"/>
  <c r="H203" i="7"/>
  <c r="I204" i="7"/>
  <c r="H204" i="7"/>
  <c r="I205" i="7"/>
  <c r="H205" i="7"/>
  <c r="I206" i="7"/>
  <c r="H206" i="7"/>
  <c r="I207" i="7"/>
  <c r="H207" i="7"/>
  <c r="I208" i="7"/>
  <c r="H208" i="7"/>
  <c r="I209" i="7"/>
  <c r="H209" i="7"/>
  <c r="I210" i="7"/>
  <c r="H210" i="7"/>
  <c r="I211" i="7"/>
  <c r="H211" i="7"/>
  <c r="I212" i="7"/>
  <c r="H212" i="7"/>
  <c r="I213" i="7"/>
  <c r="H213" i="7"/>
  <c r="I214" i="7"/>
  <c r="H214" i="7"/>
  <c r="I215" i="7"/>
  <c r="H215" i="7"/>
  <c r="I216" i="7"/>
  <c r="H216" i="7"/>
  <c r="I217" i="7"/>
  <c r="H217" i="7"/>
  <c r="I218" i="7"/>
  <c r="H218" i="7"/>
  <c r="I219" i="7"/>
  <c r="H219" i="7"/>
  <c r="I220" i="7"/>
  <c r="H220" i="7"/>
  <c r="I221" i="7"/>
  <c r="H221" i="7"/>
  <c r="I222" i="7"/>
  <c r="H222" i="7"/>
  <c r="I223" i="7"/>
  <c r="H223" i="7"/>
  <c r="I224" i="7"/>
  <c r="H224" i="7"/>
  <c r="I225" i="7"/>
  <c r="H225" i="7"/>
  <c r="I226" i="7"/>
  <c r="H226" i="7"/>
  <c r="I227" i="7"/>
  <c r="H227" i="7"/>
  <c r="I228" i="7"/>
  <c r="H228" i="7"/>
  <c r="I229" i="7"/>
  <c r="H229" i="7"/>
  <c r="I230" i="7"/>
  <c r="H230" i="7"/>
  <c r="I231" i="7"/>
  <c r="H231" i="7"/>
  <c r="I232" i="7"/>
  <c r="H232" i="7"/>
  <c r="I233" i="7"/>
  <c r="H233" i="7"/>
  <c r="I234" i="7"/>
  <c r="H234" i="7"/>
  <c r="I235" i="7"/>
  <c r="H235" i="7"/>
  <c r="I236" i="7"/>
  <c r="H236" i="7"/>
  <c r="I237" i="7"/>
  <c r="H237" i="7"/>
  <c r="I238" i="7"/>
  <c r="H238" i="7"/>
  <c r="I239" i="7"/>
  <c r="H239" i="7"/>
  <c r="I240" i="7"/>
  <c r="H240" i="7"/>
  <c r="I241" i="7"/>
  <c r="H241" i="7"/>
  <c r="I242" i="7"/>
  <c r="H242" i="7"/>
  <c r="I243" i="7"/>
  <c r="H243" i="7"/>
  <c r="I244" i="7"/>
  <c r="H244" i="7"/>
  <c r="I245" i="7"/>
  <c r="H245" i="7"/>
  <c r="I246" i="7"/>
  <c r="H246" i="7"/>
  <c r="I247" i="7"/>
  <c r="H247" i="7"/>
  <c r="I248" i="7"/>
  <c r="H248" i="7"/>
  <c r="I249" i="7"/>
  <c r="H249" i="7"/>
  <c r="I250" i="7"/>
  <c r="H250" i="7"/>
  <c r="I251" i="7"/>
  <c r="H251" i="7"/>
  <c r="I252" i="7"/>
  <c r="H252" i="7"/>
  <c r="I253" i="7"/>
  <c r="H253" i="7"/>
  <c r="I254" i="7"/>
  <c r="H254" i="7"/>
  <c r="I255" i="7"/>
  <c r="H255" i="7"/>
  <c r="I256" i="7"/>
  <c r="H256" i="7"/>
  <c r="I257" i="7"/>
  <c r="H257" i="7"/>
  <c r="I258" i="7"/>
  <c r="H258" i="7"/>
  <c r="I259" i="7"/>
  <c r="H259" i="7"/>
  <c r="I260" i="7"/>
  <c r="H260" i="7"/>
  <c r="I261" i="7"/>
  <c r="H261" i="7"/>
  <c r="I262" i="7"/>
  <c r="H262" i="7"/>
  <c r="I263" i="7"/>
  <c r="H263" i="7"/>
  <c r="I264" i="7"/>
  <c r="H264" i="7"/>
  <c r="I265" i="7"/>
  <c r="H265" i="7"/>
  <c r="I266" i="7"/>
  <c r="H266" i="7"/>
  <c r="I267" i="7"/>
  <c r="H267" i="7"/>
  <c r="I268" i="7"/>
  <c r="H268" i="7"/>
  <c r="I269" i="7"/>
  <c r="H269" i="7"/>
  <c r="I270" i="7"/>
  <c r="H270" i="7"/>
  <c r="I271" i="7"/>
  <c r="H271" i="7"/>
  <c r="I272" i="7"/>
  <c r="H272" i="7"/>
  <c r="I273" i="7"/>
  <c r="H273" i="7"/>
  <c r="I274" i="7"/>
  <c r="H274" i="7"/>
  <c r="I275" i="7"/>
  <c r="H275" i="7"/>
  <c r="I276" i="7"/>
  <c r="H276" i="7"/>
  <c r="I277" i="7"/>
  <c r="H277" i="7"/>
  <c r="I278" i="7"/>
  <c r="H278" i="7"/>
  <c r="I279" i="7"/>
  <c r="H279" i="7"/>
  <c r="I280" i="7"/>
  <c r="H280" i="7"/>
  <c r="I281" i="7"/>
  <c r="H281" i="7"/>
  <c r="I282" i="7"/>
  <c r="H282" i="7"/>
  <c r="I283" i="7"/>
  <c r="H283" i="7"/>
  <c r="I284" i="7"/>
  <c r="H284" i="7"/>
  <c r="I285" i="7"/>
  <c r="H285" i="7"/>
  <c r="I286" i="7"/>
  <c r="H286" i="7"/>
  <c r="I287" i="7"/>
  <c r="H287" i="7"/>
  <c r="I288" i="7"/>
  <c r="H288" i="7"/>
  <c r="I289" i="7"/>
  <c r="H289" i="7"/>
  <c r="I290" i="7"/>
  <c r="H290" i="7"/>
  <c r="I291" i="7"/>
  <c r="H291" i="7"/>
  <c r="I292" i="7"/>
  <c r="H292" i="7"/>
  <c r="I293" i="7"/>
  <c r="H293" i="7"/>
  <c r="I294" i="7"/>
  <c r="H294" i="7"/>
  <c r="I295" i="7"/>
  <c r="H295" i="7"/>
  <c r="I296" i="7"/>
  <c r="H296" i="7"/>
  <c r="I297" i="7"/>
  <c r="H297" i="7"/>
  <c r="I298" i="7"/>
  <c r="H298" i="7"/>
  <c r="I299" i="7"/>
  <c r="H299" i="7"/>
  <c r="I300" i="7"/>
  <c r="H300" i="7"/>
  <c r="I301" i="7"/>
  <c r="H301" i="7"/>
  <c r="I302" i="7"/>
  <c r="H302" i="7"/>
  <c r="I303" i="7"/>
  <c r="H303" i="7"/>
  <c r="I304" i="7"/>
  <c r="H304" i="7"/>
  <c r="I305" i="7"/>
  <c r="H305" i="7"/>
  <c r="I306" i="7"/>
  <c r="H306" i="7"/>
  <c r="I307" i="7"/>
  <c r="H307" i="7"/>
  <c r="I308" i="7"/>
  <c r="H308" i="7"/>
  <c r="I309" i="7"/>
  <c r="H309" i="7"/>
  <c r="I310" i="7"/>
  <c r="H310" i="7"/>
  <c r="I311" i="7"/>
  <c r="H311" i="7"/>
  <c r="I312" i="7"/>
  <c r="H312" i="7"/>
  <c r="I313" i="7"/>
  <c r="H313" i="7"/>
  <c r="I314" i="7"/>
  <c r="H314" i="7"/>
  <c r="I315" i="7"/>
  <c r="H315" i="7"/>
  <c r="I316" i="7"/>
  <c r="H316" i="7"/>
  <c r="I317" i="7"/>
  <c r="H317" i="7"/>
  <c r="I318" i="7"/>
  <c r="H318" i="7"/>
  <c r="I319" i="7"/>
  <c r="H319" i="7"/>
  <c r="I320" i="7"/>
  <c r="H320" i="7"/>
  <c r="I321" i="7"/>
  <c r="H321" i="7"/>
</calcChain>
</file>

<file path=xl/sharedStrings.xml><?xml version="1.0" encoding="utf-8"?>
<sst xmlns="http://schemas.openxmlformats.org/spreadsheetml/2006/main" count="4409" uniqueCount="202">
  <si>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</si>
  <si>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</si>
  <si>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</si>
  <si>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</si>
  <si>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</si>
  <si>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</si>
  <si>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</si>
  <si>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</si>
  <si>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</si>
  <si>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</si>
  <si>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</si>
  <si>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</si>
  <si>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</si>
  <si>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</si>
  <si>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</si>
  <si>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</si>
  <si>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</si>
  <si>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</si>
  <si>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</si>
  <si>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</si>
  <si>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</si>
  <si>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</si>
  <si>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</si>
  <si>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</si>
  <si>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</si>
  <si>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</si>
  <si>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</si>
  <si>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</si>
  <si>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</si>
  <si>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</si>
  <si>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</si>
  <si>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</si>
  <si>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</si>
  <si>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</si>
  <si>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</si>
  <si>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</si>
  <si>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</si>
  <si>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</si>
  <si>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</si>
  <si>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</si>
  <si>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</si>
  <si>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</si>
  <si>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</si>
  <si>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</si>
  <si>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</si>
  <si>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</si>
  <si>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</si>
  <si>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</si>
  <si>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</si>
  <si>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</si>
  <si>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</si>
  <si>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</si>
  <si>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</si>
  <si>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</si>
  <si>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</si>
  <si>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</si>
  <si>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</si>
  <si>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</si>
  <si>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</si>
  <si>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</si>
  <si>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</si>
  <si>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</si>
  <si>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</si>
  <si>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</si>
  <si>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</si>
  <si>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</si>
  <si>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</si>
  <si>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</si>
  <si>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</si>
  <si>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</si>
  <si>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</si>
  <si>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</si>
  <si>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</si>
  <si>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</si>
  <si>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</si>
  <si>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</si>
  <si>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</si>
  <si>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</si>
  <si>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</si>
  <si>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</si>
  <si>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</si>
  <si>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</si>
  <si>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</si>
  <si>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</si>
  <si>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</si>
  <si>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</si>
  <si>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</si>
  <si>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</si>
  <si>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</si>
  <si>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</si>
  <si>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</si>
  <si>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</si>
  <si>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</si>
  <si>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</si>
  <si>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</si>
  <si>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</si>
  <si>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</si>
  <si>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</si>
  <si>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</si>
  <si>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</si>
  <si>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</si>
  <si>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</si>
  <si>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cleaning_note</t>
  </si>
  <si>
    <t>Numeric blanks, if any, were handled using median values for analysis; original file was not overwritten.</t>
  </si>
  <si>
    <t>region_North</t>
  </si>
  <si>
    <t>region_South</t>
  </si>
  <si>
    <t>region_West</t>
  </si>
  <si>
    <t>store_type_Airport</t>
  </si>
  <si>
    <t>store_type_High_Street</t>
  </si>
  <si>
    <t>store_type_Mall</t>
  </si>
  <si>
    <t>Simple Regression Model 1: Monthly Sales vs Marketing Spend</t>
  </si>
  <si>
    <t>Dependent Variable</t>
  </si>
  <si>
    <t>Business Interpretation</t>
  </si>
  <si>
    <t>Marketing spend has a positive relationship with monthly sales. However, by itself it explains only part of the sales variation.</t>
  </si>
  <si>
    <t>Independent Variable</t>
  </si>
  <si>
    <t>Usefulness Rule</t>
  </si>
  <si>
    <t>p-value below 0.05 means the variable is statistically useful in this dataset.</t>
  </si>
  <si>
    <t>Observations</t>
  </si>
  <si>
    <t>Direction</t>
  </si>
  <si>
    <t>Positive coefficient means sales increase as this factor increases.</t>
  </si>
  <si>
    <t>R-squared</t>
  </si>
  <si>
    <t>Screenshot</t>
  </si>
  <si>
    <t>Capture this sheet as screenshots/simple_regression_output.png</t>
  </si>
  <si>
    <t>Adjusted R-squared</t>
  </si>
  <si>
    <t>Formula Used</t>
  </si>
  <si>
    <t>Regression coefficients are calculated using OLS; residual = actual - predicted.</t>
  </si>
  <si>
    <t>RMSE</t>
  </si>
  <si>
    <t>Model Equation</t>
  </si>
  <si>
    <t>monthly_sales = 560777.35 + (2.1296 × marketing_spend)</t>
  </si>
  <si>
    <t>Variable</t>
  </si>
  <si>
    <t>Coefficient</t>
  </si>
  <si>
    <t>Std. Error</t>
  </si>
  <si>
    <t>t Stat</t>
  </si>
  <si>
    <t>P-value</t>
  </si>
  <si>
    <t>Intercept</t>
  </si>
  <si>
    <t>Simple Regression Model 2: Monthly Sales vs Footfall</t>
  </si>
  <si>
    <t>Footfall has a strong positive relationship with monthly sales. Higher customer traffic is strongly associated with higher sales.</t>
  </si>
  <si>
    <t>Capture this sheet as screenshots/optional_simple_model_2.png</t>
  </si>
  <si>
    <t>monthly_sales = 446410.58 + (35.6780 × footfall)</t>
  </si>
  <si>
    <t>Multiple Regression Model: Monthly Sales Drivers</t>
  </si>
  <si>
    <t>Reference Categories</t>
  </si>
  <si>
    <t>Region reference = East; Store Type reference = Residential</t>
  </si>
  <si>
    <t>Predictors Used</t>
  </si>
  <si>
    <t>marketing_spend, footfall, avg_discount_pct, inventory_availability_pct, customer_rating, staff_count, holiday_flag, competitor_distance_km, region_North, region_South, region_West, store_type_Airport, store_type_High_Street, store_type_Mall</t>
  </si>
  <si>
    <t>Strong Drivers</t>
  </si>
  <si>
    <t>Footfall, marketing spend, inventory availability, customer rating, staff count, competitor distance, store type and some regions.</t>
  </si>
  <si>
    <t>Weak Variable</t>
  </si>
  <si>
    <t>avg_discount_pct has a weaker p-value and should not be over-interpreted.</t>
  </si>
  <si>
    <t>Interpretation</t>
  </si>
  <si>
    <t>Each coefficient estimates change in monthly_sales when that variable increases by 1 unit, holding other variables constant.</t>
  </si>
  <si>
    <t>Capture this sheet as screenshots/multiple_regression_output.png</t>
  </si>
  <si>
    <t>Dummy Rule</t>
  </si>
  <si>
    <t>Do not include all categories together. One category is left out as reference to avoid redundancy.</t>
  </si>
  <si>
    <t>Final Model Selected</t>
  </si>
  <si>
    <t>Yes - this model has the best explanatory power and includes numerical + dummy variables.</t>
  </si>
  <si>
    <t>Business Meaning</t>
  </si>
  <si>
    <t>The model helps leadership decide where to focus, but it shows association, not guaranteed causation.</t>
  </si>
  <si>
    <t>Predicted sales = intercept + sum(coefficient × variable).</t>
  </si>
  <si>
    <t>actual_monthly_sales</t>
  </si>
  <si>
    <t>predicted_sales</t>
  </si>
  <si>
    <t>residual</t>
  </si>
  <si>
    <t>absolute_residual</t>
  </si>
  <si>
    <t>residual_direction</t>
  </si>
  <si>
    <t>Residual Analysis Helper Tables</t>
  </si>
  <si>
    <t>Largest Positive Residuals</t>
  </si>
  <si>
    <t>Month</t>
  </si>
  <si>
    <t>Region</t>
  </si>
  <si>
    <t>Actual</t>
  </si>
  <si>
    <t>Residual</t>
  </si>
  <si>
    <t>Largest Negative Residuals</t>
  </si>
  <si>
    <t>Model Comparison Summary</t>
  </si>
  <si>
    <t>Model Name</t>
  </si>
  <si>
    <t>Independent Variables</t>
  </si>
  <si>
    <t>Key Significant Variables</t>
  </si>
  <si>
    <t>Business Usefulness</t>
  </si>
  <si>
    <t>Limitation</t>
  </si>
  <si>
    <t>Simple Model 1</t>
  </si>
  <si>
    <t>Shows marketing-sales association</t>
  </si>
  <si>
    <t>Explains limited variation by itself</t>
  </si>
  <si>
    <t>Simple Model 2</t>
  </si>
  <si>
    <t>Strong traffic-sales model</t>
  </si>
  <si>
    <t>Ignores other drivers</t>
  </si>
  <si>
    <t>Multiple Model</t>
  </si>
  <si>
    <t>footfall, marketing, inventory, rating, staff, competitor distance, store type dummies</t>
  </si>
  <si>
    <t>Best final model for business decision-making</t>
  </si>
  <si>
    <t>Association only; not proof of causation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</si>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</sst>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₹#,##0.00"/>
    <numFmt numFmtId="166" formatCode="0.0%"/>
    <numFmt numFmtId="167" formatCode="0.00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/>
    <xf numFmtId="165" fontId="0" fillId="0" borderId="1" xfId="0" applyNumberFormat="1" applyFont="1" applyFill="1" applyBorder="1"/>
    <xf numFmtId="166" fontId="0" fillId="0" borderId="1" xfId="0" applyNumberFormat="1" applyFont="1" applyFill="1" applyBorder="1"/>
    <xf numFmtId="0" fontId="3" fillId="4" borderId="1" xfId="0" applyNumberFormat="1" applyFont="1" applyFill="1" applyBorder="1" applyAlignment="1">
      <alignment horizontal="center" wrapText="1"/>
    </xf>
    <xf numFmtId="4" fontId="0" fillId="0" borderId="1" xfId="0" applyNumberFormat="1" applyFont="1" applyFill="1" applyBorder="1"/>
    <xf numFmtId="167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center"/>
    </xf>
    <xf numFmtId="0" fontId="0" fillId="0" borderId="0" xfId="0" applyAlignment="1"/>
    <xf numFmtId="0" fontId="2" fillId="3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zoomScaleNormal="100" zoomScaleSheetLayoutView="100" workbookViewId="0">
      <selection sqref="A1:N321"/>
    </sheetView>
  </sheetViews>
  <sheetFormatPr defaultRowHeight="15"/>
  <cols>
    <col min="1" max="1" width="8.625" bestFit="1" customWidth="1"/>
    <col min="2" max="2" width="10.375" bestFit="1" customWidth="1"/>
    <col min="3" max="3" width="5.625" bestFit="1" customWidth="1"/>
    <col min="4" max="4" width="10.125" bestFit="1" customWidth="1"/>
    <col min="5" max="5" width="13.75" customWidth="1"/>
    <col min="6" max="6" width="6" customWidth="1"/>
    <col min="7" max="7" width="13.875" customWidth="1"/>
    <col min="8" max="8" width="9.125" customWidth="1"/>
    <col min="9" max="9" width="20.25" customWidth="1"/>
    <col min="10" max="10" width="19.5" customWidth="1"/>
    <col min="11" max="11" width="9.875" customWidth="1"/>
    <col min="12" max="12" width="13" customWidth="1"/>
    <col min="13" max="13" width="11.625" customWidth="1"/>
    <col min="14" max="14" width="12.125" customWidth="1"/>
  </cols>
  <sheetData>
    <row r="1" spans="1:14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>
      <c r="A2" t="s">
        <v>14</v>
      </c>
      <c r="B2" s="2">
        <v>45658</v>
      </c>
      <c r="C2" t="s">
        <v>15</v>
      </c>
      <c r="D2" t="s">
        <v>16</v>
      </c>
      <c r="E2" s="3">
        <v>70389.11</v>
      </c>
      <c r="F2">
        <v>8302</v>
      </c>
      <c r="G2" s="4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 s="3">
        <v>658832.62</v>
      </c>
      <c r="N2" s="3">
        <v>84349.93</v>
      </c>
    </row>
    <row r="3" spans="1:14" ht="14.25">
      <c r="A3" t="s">
        <v>14</v>
      </c>
      <c r="B3" s="2">
        <v>45689</v>
      </c>
      <c r="C3" t="s">
        <v>15</v>
      </c>
      <c r="D3" t="s">
        <v>16</v>
      </c>
      <c r="E3" s="3">
        <v>43827.89</v>
      </c>
      <c r="F3">
        <v>8487</v>
      </c>
      <c r="G3" s="4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 s="3">
        <v>634436</v>
      </c>
      <c r="N3" s="3">
        <v>106130.54</v>
      </c>
    </row>
    <row r="4" spans="1:14" ht="14.25">
      <c r="A4" t="s">
        <v>14</v>
      </c>
      <c r="B4" s="2">
        <v>45717</v>
      </c>
      <c r="C4" t="s">
        <v>15</v>
      </c>
      <c r="D4" t="s">
        <v>16</v>
      </c>
      <c r="E4" s="3">
        <v>59921.75</v>
      </c>
      <c r="F4">
        <v>9113</v>
      </c>
      <c r="G4" s="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 s="3">
        <v>678722.06</v>
      </c>
      <c r="N4" s="3">
        <v>101883.86</v>
      </c>
    </row>
    <row r="5" spans="1:14" ht="14.25">
      <c r="A5" t="s">
        <v>14</v>
      </c>
      <c r="B5" s="2">
        <v>45748</v>
      </c>
      <c r="C5" t="s">
        <v>15</v>
      </c>
      <c r="D5" t="s">
        <v>16</v>
      </c>
      <c r="E5" s="3">
        <v>56856.63</v>
      </c>
      <c r="F5">
        <v>9431</v>
      </c>
      <c r="G5" s="4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 s="3">
        <v>658920.30000000005</v>
      </c>
      <c r="N5" s="3">
        <v>97910.37</v>
      </c>
    </row>
    <row r="6" spans="1:14" ht="14.25">
      <c r="A6" t="s">
        <v>17</v>
      </c>
      <c r="B6" s="2">
        <v>45658</v>
      </c>
      <c r="C6" t="s">
        <v>15</v>
      </c>
      <c r="D6" t="s">
        <v>18</v>
      </c>
      <c r="E6" s="3">
        <v>48412.639999999999</v>
      </c>
      <c r="F6">
        <v>9545</v>
      </c>
      <c r="G6" s="4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 s="3">
        <v>741341.44</v>
      </c>
      <c r="N6" s="3">
        <v>119208.17</v>
      </c>
    </row>
    <row r="7" spans="1:14" ht="14.25">
      <c r="A7" t="s">
        <v>17</v>
      </c>
      <c r="B7" s="2">
        <v>45689</v>
      </c>
      <c r="C7" t="s">
        <v>15</v>
      </c>
      <c r="D7" t="s">
        <v>18</v>
      </c>
      <c r="E7" s="3">
        <v>64811.21</v>
      </c>
      <c r="F7">
        <v>9792</v>
      </c>
      <c r="G7" s="4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 s="3">
        <v>761835.34</v>
      </c>
      <c r="N7" s="3">
        <v>149602.23000000001</v>
      </c>
    </row>
    <row r="8" spans="1:14" ht="14.25">
      <c r="A8" t="s">
        <v>17</v>
      </c>
      <c r="B8" s="2">
        <v>45717</v>
      </c>
      <c r="C8" t="s">
        <v>15</v>
      </c>
      <c r="D8" t="s">
        <v>18</v>
      </c>
      <c r="E8" s="3">
        <v>46213.45</v>
      </c>
      <c r="F8">
        <v>10616</v>
      </c>
      <c r="G8" s="4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 s="3">
        <v>806615.54</v>
      </c>
      <c r="N8" s="3">
        <v>131364.62</v>
      </c>
    </row>
    <row r="9" spans="1:14" ht="14.25">
      <c r="A9" t="s">
        <v>17</v>
      </c>
      <c r="B9" s="2">
        <v>45748</v>
      </c>
      <c r="C9" t="s">
        <v>15</v>
      </c>
      <c r="D9" t="s">
        <v>18</v>
      </c>
      <c r="E9" s="3">
        <v>68148.52</v>
      </c>
      <c r="F9">
        <v>8567</v>
      </c>
      <c r="G9" s="4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 s="3">
        <v>850164.26</v>
      </c>
      <c r="N9" s="3">
        <v>149262.75</v>
      </c>
    </row>
    <row r="10" spans="1:14" ht="14.25">
      <c r="A10" t="s">
        <v>19</v>
      </c>
      <c r="B10" s="2">
        <v>45658</v>
      </c>
      <c r="C10" t="s">
        <v>20</v>
      </c>
      <c r="D10" t="s">
        <v>21</v>
      </c>
      <c r="E10" s="3">
        <v>71838.86</v>
      </c>
      <c r="F10">
        <v>10979</v>
      </c>
      <c r="G10" s="4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 s="3">
        <v>930581.7</v>
      </c>
      <c r="N10" s="3">
        <v>136207.98000000001</v>
      </c>
    </row>
    <row r="11" spans="1:14" ht="14.25">
      <c r="A11" t="s">
        <v>19</v>
      </c>
      <c r="B11" s="2">
        <v>45689</v>
      </c>
      <c r="C11" t="s">
        <v>20</v>
      </c>
      <c r="D11" t="s">
        <v>21</v>
      </c>
      <c r="E11" s="3">
        <v>68133.440000000002</v>
      </c>
      <c r="F11">
        <v>9459</v>
      </c>
      <c r="G11" s="4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 s="3">
        <v>779010.94</v>
      </c>
      <c r="N11" s="3">
        <v>106328.09</v>
      </c>
    </row>
    <row r="12" spans="1:14" ht="14.25">
      <c r="A12" t="s">
        <v>19</v>
      </c>
      <c r="B12" s="2">
        <v>45717</v>
      </c>
      <c r="C12" t="s">
        <v>20</v>
      </c>
      <c r="D12" t="s">
        <v>21</v>
      </c>
      <c r="E12" s="3">
        <v>34285.21</v>
      </c>
      <c r="F12">
        <v>9172</v>
      </c>
      <c r="G12" s="4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 s="3">
        <v>723060.76</v>
      </c>
      <c r="N12" s="3">
        <v>123131.24</v>
      </c>
    </row>
    <row r="13" spans="1:14" ht="14.25">
      <c r="A13" t="s">
        <v>19</v>
      </c>
      <c r="B13" s="2">
        <v>45748</v>
      </c>
      <c r="C13" t="s">
        <v>20</v>
      </c>
      <c r="D13" t="s">
        <v>21</v>
      </c>
      <c r="E13" s="3">
        <v>67979.88</v>
      </c>
      <c r="F13">
        <v>11230</v>
      </c>
      <c r="G13" s="4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 s="3">
        <v>910791.94</v>
      </c>
      <c r="N13" s="3">
        <v>158891.28</v>
      </c>
    </row>
    <row r="14" spans="1:14" ht="14.25">
      <c r="A14" t="s">
        <v>22</v>
      </c>
      <c r="B14" s="2">
        <v>45658</v>
      </c>
      <c r="C14" t="s">
        <v>15</v>
      </c>
      <c r="D14" t="s">
        <v>16</v>
      </c>
      <c r="E14" s="3">
        <v>71828.259999999995</v>
      </c>
      <c r="F14">
        <v>12775</v>
      </c>
      <c r="G14" s="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 s="3">
        <v>922168.6</v>
      </c>
      <c r="N14" s="3">
        <v>107494.53</v>
      </c>
    </row>
    <row r="15" spans="1:14" ht="14.25">
      <c r="A15" t="s">
        <v>22</v>
      </c>
      <c r="B15" s="2">
        <v>45689</v>
      </c>
      <c r="C15" t="s">
        <v>15</v>
      </c>
      <c r="D15" t="s">
        <v>16</v>
      </c>
      <c r="E15" s="3">
        <v>55716.82</v>
      </c>
      <c r="F15">
        <v>10054</v>
      </c>
      <c r="G15" s="4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 s="3">
        <v>726606.28</v>
      </c>
      <c r="N15" s="3">
        <v>122729.29</v>
      </c>
    </row>
    <row r="16" spans="1:14" ht="14.25">
      <c r="A16" t="s">
        <v>22</v>
      </c>
      <c r="B16" s="2">
        <v>45717</v>
      </c>
      <c r="C16" t="s">
        <v>15</v>
      </c>
      <c r="D16" t="s">
        <v>16</v>
      </c>
      <c r="E16" s="3">
        <v>59909.51</v>
      </c>
      <c r="F16">
        <v>8895</v>
      </c>
      <c r="G16" s="4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 s="3">
        <v>746501.09</v>
      </c>
      <c r="N16" s="3">
        <v>136816.72</v>
      </c>
    </row>
    <row r="17" spans="1:14" ht="14.25">
      <c r="A17" t="s">
        <v>22</v>
      </c>
      <c r="B17" s="2">
        <v>45748</v>
      </c>
      <c r="C17" t="s">
        <v>15</v>
      </c>
      <c r="D17" t="s">
        <v>16</v>
      </c>
      <c r="E17" s="3">
        <v>75305.710000000006</v>
      </c>
      <c r="F17">
        <v>10940</v>
      </c>
      <c r="G17" s="4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 s="3">
        <v>834017.02</v>
      </c>
      <c r="N17" s="3">
        <v>114745.03</v>
      </c>
    </row>
    <row r="18" spans="1:14" ht="14.25">
      <c r="A18" t="s">
        <v>23</v>
      </c>
      <c r="B18" s="2">
        <v>45658</v>
      </c>
      <c r="C18" t="s">
        <v>24</v>
      </c>
      <c r="D18" t="s">
        <v>16</v>
      </c>
      <c r="E18" s="3">
        <v>48804.22</v>
      </c>
      <c r="F18">
        <v>7057</v>
      </c>
      <c r="G18" s="4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 s="3">
        <v>666152.52</v>
      </c>
      <c r="N18" s="3">
        <v>107490.58</v>
      </c>
    </row>
    <row r="19" spans="1:14" ht="14.25">
      <c r="A19" t="s">
        <v>23</v>
      </c>
      <c r="B19" s="2">
        <v>45689</v>
      </c>
      <c r="C19" t="s">
        <v>24</v>
      </c>
      <c r="D19" t="s">
        <v>16</v>
      </c>
      <c r="E19" s="3">
        <v>59117.9</v>
      </c>
      <c r="F19">
        <v>4263</v>
      </c>
      <c r="G19" s="4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 s="3">
        <v>573155.18999999994</v>
      </c>
      <c r="N19" s="3">
        <v>83680.75</v>
      </c>
    </row>
    <row r="20" spans="1:14" ht="14.25">
      <c r="A20" t="s">
        <v>23</v>
      </c>
      <c r="B20" s="2">
        <v>45717</v>
      </c>
      <c r="C20" t="s">
        <v>24</v>
      </c>
      <c r="D20" t="s">
        <v>16</v>
      </c>
      <c r="E20" s="3">
        <v>78831.12</v>
      </c>
      <c r="F20">
        <v>5538</v>
      </c>
      <c r="G20" s="4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 s="3">
        <v>666573.19999999995</v>
      </c>
      <c r="N20" s="3">
        <v>140641.01999999999</v>
      </c>
    </row>
    <row r="21" spans="1:14" ht="14.25">
      <c r="A21" t="s">
        <v>23</v>
      </c>
      <c r="B21" s="2">
        <v>45748</v>
      </c>
      <c r="C21" t="s">
        <v>24</v>
      </c>
      <c r="D21" t="s">
        <v>16</v>
      </c>
      <c r="E21" s="3">
        <v>41441.93</v>
      </c>
      <c r="F21">
        <v>4865</v>
      </c>
      <c r="G21" s="4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 s="3">
        <v>591619.94999999995</v>
      </c>
      <c r="N21" s="3">
        <v>99521.35</v>
      </c>
    </row>
    <row r="22" spans="1:14" ht="14.25">
      <c r="A22" t="s">
        <v>25</v>
      </c>
      <c r="B22" s="2">
        <v>45658</v>
      </c>
      <c r="C22" t="s">
        <v>20</v>
      </c>
      <c r="D22" t="s">
        <v>16</v>
      </c>
      <c r="E22" s="3">
        <v>30356.28</v>
      </c>
      <c r="F22">
        <v>2822</v>
      </c>
      <c r="G22" s="4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 s="3">
        <v>415721.82</v>
      </c>
      <c r="N22" s="3">
        <v>61179.15</v>
      </c>
    </row>
    <row r="23" spans="1:14" ht="14.25">
      <c r="A23" t="s">
        <v>25</v>
      </c>
      <c r="B23" s="2">
        <v>45689</v>
      </c>
      <c r="C23" t="s">
        <v>20</v>
      </c>
      <c r="D23" t="s">
        <v>16</v>
      </c>
      <c r="E23" s="3">
        <v>33518.879999999997</v>
      </c>
      <c r="F23">
        <v>2121</v>
      </c>
      <c r="G23" s="4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 s="3">
        <v>491905.13</v>
      </c>
      <c r="N23" s="3">
        <v>79212.259999999995</v>
      </c>
    </row>
    <row r="24" spans="1:14" ht="14.25">
      <c r="A24" t="s">
        <v>25</v>
      </c>
      <c r="B24" s="2">
        <v>45717</v>
      </c>
      <c r="C24" t="s">
        <v>20</v>
      </c>
      <c r="D24" t="s">
        <v>16</v>
      </c>
      <c r="E24" s="3">
        <v>42267.37</v>
      </c>
      <c r="F24">
        <v>3364</v>
      </c>
      <c r="G24" s="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 s="3">
        <v>555929.4</v>
      </c>
      <c r="N24" s="3">
        <v>115201.76</v>
      </c>
    </row>
    <row r="25" spans="1:14" ht="14.25">
      <c r="A25" t="s">
        <v>25</v>
      </c>
      <c r="B25" s="2">
        <v>45748</v>
      </c>
      <c r="C25" t="s">
        <v>20</v>
      </c>
      <c r="D25" t="s">
        <v>16</v>
      </c>
      <c r="E25" s="3">
        <v>62060.43</v>
      </c>
      <c r="F25">
        <v>2613</v>
      </c>
      <c r="G25" s="4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 s="3">
        <v>565810.99</v>
      </c>
      <c r="N25" s="3">
        <v>77825.460000000006</v>
      </c>
    </row>
    <row r="26" spans="1:14" ht="14.25">
      <c r="A26" t="s">
        <v>26</v>
      </c>
      <c r="B26" s="2">
        <v>45658</v>
      </c>
      <c r="C26" t="s">
        <v>27</v>
      </c>
      <c r="D26" t="s">
        <v>28</v>
      </c>
      <c r="E26" s="3">
        <v>57696.69</v>
      </c>
      <c r="F26">
        <v>10218</v>
      </c>
      <c r="G26" s="4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 s="3">
        <v>811771.14</v>
      </c>
      <c r="N26" s="3">
        <v>148756.24</v>
      </c>
    </row>
    <row r="27" spans="1:14" ht="14.25">
      <c r="A27" t="s">
        <v>26</v>
      </c>
      <c r="B27" s="2">
        <v>45689</v>
      </c>
      <c r="C27" t="s">
        <v>27</v>
      </c>
      <c r="D27" t="s">
        <v>28</v>
      </c>
      <c r="E27" s="3">
        <v>172415.52</v>
      </c>
      <c r="F27">
        <v>8927</v>
      </c>
      <c r="G27" s="4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 s="3">
        <v>800451.94</v>
      </c>
      <c r="N27" s="3">
        <v>111572.29</v>
      </c>
    </row>
    <row r="28" spans="1:14" ht="14.25">
      <c r="A28" t="s">
        <v>26</v>
      </c>
      <c r="B28" s="2">
        <v>45717</v>
      </c>
      <c r="C28" t="s">
        <v>27</v>
      </c>
      <c r="D28" t="s">
        <v>28</v>
      </c>
      <c r="E28" s="3">
        <v>55270.52</v>
      </c>
      <c r="F28">
        <v>9315</v>
      </c>
      <c r="G28" s="4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 s="3">
        <v>783672.82</v>
      </c>
      <c r="N28" s="3">
        <v>112577.14</v>
      </c>
    </row>
    <row r="29" spans="1:14" ht="14.25">
      <c r="A29" t="s">
        <v>26</v>
      </c>
      <c r="B29" s="2">
        <v>45748</v>
      </c>
      <c r="C29" t="s">
        <v>27</v>
      </c>
      <c r="D29" t="s">
        <v>28</v>
      </c>
      <c r="E29" s="3">
        <v>52715.1</v>
      </c>
      <c r="F29">
        <v>7223</v>
      </c>
      <c r="G29" s="4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 s="3">
        <v>701641.97</v>
      </c>
      <c r="N29" s="3">
        <v>106111.86</v>
      </c>
    </row>
    <row r="30" spans="1:14" ht="14.25">
      <c r="A30" t="s">
        <v>29</v>
      </c>
      <c r="B30" s="2">
        <v>45658</v>
      </c>
      <c r="C30" t="s">
        <v>15</v>
      </c>
      <c r="D30" t="s">
        <v>16</v>
      </c>
      <c r="E30" s="3">
        <v>68600.62</v>
      </c>
      <c r="F30">
        <v>3988</v>
      </c>
      <c r="G30" s="4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 s="3">
        <v>511844.41</v>
      </c>
      <c r="N30" s="3">
        <v>72774.44</v>
      </c>
    </row>
    <row r="31" spans="1:14" ht="14.25">
      <c r="A31" t="s">
        <v>29</v>
      </c>
      <c r="B31" s="2">
        <v>45689</v>
      </c>
      <c r="C31" t="s">
        <v>15</v>
      </c>
      <c r="D31" t="s">
        <v>16</v>
      </c>
      <c r="E31" s="3">
        <v>63176.73</v>
      </c>
      <c r="F31">
        <v>2390</v>
      </c>
      <c r="G31" s="4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 s="3">
        <v>537383.79</v>
      </c>
      <c r="N31" s="3">
        <v>63773.27</v>
      </c>
    </row>
    <row r="32" spans="1:14" ht="14.25">
      <c r="A32" t="s">
        <v>29</v>
      </c>
      <c r="B32" s="2">
        <v>45717</v>
      </c>
      <c r="C32" t="s">
        <v>15</v>
      </c>
      <c r="D32" t="s">
        <v>16</v>
      </c>
      <c r="E32" s="3">
        <v>44970.080000000002</v>
      </c>
      <c r="F32">
        <v>2471</v>
      </c>
      <c r="G32" s="4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 s="3">
        <v>500173.02</v>
      </c>
      <c r="N32" s="3">
        <v>70982.05</v>
      </c>
    </row>
    <row r="33" spans="1:14" ht="14.25">
      <c r="A33" t="s">
        <v>29</v>
      </c>
      <c r="B33" s="2">
        <v>45748</v>
      </c>
      <c r="C33" t="s">
        <v>15</v>
      </c>
      <c r="D33" t="s">
        <v>16</v>
      </c>
      <c r="E33" s="3">
        <v>69816.350000000006</v>
      </c>
      <c r="F33">
        <v>971</v>
      </c>
      <c r="G33" s="4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 s="3">
        <v>427917.38</v>
      </c>
      <c r="N33" s="3">
        <v>81824.31</v>
      </c>
    </row>
    <row r="34" spans="1:14" ht="14.25">
      <c r="A34" t="s">
        <v>30</v>
      </c>
      <c r="B34" s="2">
        <v>45658</v>
      </c>
      <c r="C34" t="s">
        <v>20</v>
      </c>
      <c r="D34" t="s">
        <v>16</v>
      </c>
      <c r="E34" s="3">
        <v>54597.83</v>
      </c>
      <c r="F34">
        <v>9429</v>
      </c>
      <c r="G34" s="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 s="3">
        <v>641865.03</v>
      </c>
      <c r="N34" s="3">
        <v>81342.58</v>
      </c>
    </row>
    <row r="35" spans="1:14" ht="14.25">
      <c r="A35" t="s">
        <v>30</v>
      </c>
      <c r="B35" s="2">
        <v>45689</v>
      </c>
      <c r="C35" t="s">
        <v>20</v>
      </c>
      <c r="D35" t="s">
        <v>16</v>
      </c>
      <c r="E35" s="3">
        <v>73771.91</v>
      </c>
      <c r="F35">
        <v>11695</v>
      </c>
      <c r="G35" s="4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 s="3">
        <v>799477.76000000001</v>
      </c>
      <c r="N35" s="3">
        <v>164974.41</v>
      </c>
    </row>
    <row r="36" spans="1:14" ht="14.25">
      <c r="A36" t="s">
        <v>30</v>
      </c>
      <c r="B36" s="2">
        <v>45717</v>
      </c>
      <c r="C36" t="s">
        <v>20</v>
      </c>
      <c r="D36" t="s">
        <v>16</v>
      </c>
      <c r="E36" s="3">
        <v>74413.88</v>
      </c>
      <c r="F36">
        <v>9449</v>
      </c>
      <c r="G36" s="4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 s="3">
        <v>798952.17</v>
      </c>
      <c r="N36" s="3">
        <v>161499.04</v>
      </c>
    </row>
    <row r="37" spans="1:14" ht="14.25">
      <c r="A37" t="s">
        <v>30</v>
      </c>
      <c r="B37" s="2">
        <v>45748</v>
      </c>
      <c r="C37" t="s">
        <v>20</v>
      </c>
      <c r="D37" t="s">
        <v>16</v>
      </c>
      <c r="E37" s="3">
        <v>52483.77</v>
      </c>
      <c r="F37">
        <v>10453</v>
      </c>
      <c r="G37" s="4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 s="3">
        <v>800979.78</v>
      </c>
      <c r="N37" s="3">
        <v>149242.26999999999</v>
      </c>
    </row>
    <row r="38" spans="1:14" ht="14.25">
      <c r="A38" t="s">
        <v>31</v>
      </c>
      <c r="B38" s="2">
        <v>45658</v>
      </c>
      <c r="C38" t="s">
        <v>20</v>
      </c>
      <c r="D38" t="s">
        <v>28</v>
      </c>
      <c r="E38" s="3">
        <v>75269.87</v>
      </c>
      <c r="F38">
        <v>8838</v>
      </c>
      <c r="G38" s="4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 s="3">
        <v>820593.93</v>
      </c>
      <c r="N38" s="3">
        <v>115860.06</v>
      </c>
    </row>
    <row r="39" spans="1:14" ht="14.25">
      <c r="A39" t="s">
        <v>31</v>
      </c>
      <c r="B39" s="2">
        <v>45689</v>
      </c>
      <c r="C39" t="s">
        <v>20</v>
      </c>
      <c r="D39" t="s">
        <v>28</v>
      </c>
      <c r="E39" s="3">
        <v>61245.41</v>
      </c>
      <c r="F39">
        <v>8156</v>
      </c>
      <c r="G39" s="4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 s="3">
        <v>718330.53</v>
      </c>
      <c r="N39" s="3">
        <v>93247.9</v>
      </c>
    </row>
    <row r="40" spans="1:14" ht="14.25">
      <c r="A40" t="s">
        <v>31</v>
      </c>
      <c r="B40" s="2">
        <v>45717</v>
      </c>
      <c r="C40" t="s">
        <v>20</v>
      </c>
      <c r="D40" t="s">
        <v>28</v>
      </c>
      <c r="E40" s="3">
        <v>93381.26</v>
      </c>
      <c r="F40">
        <v>7562</v>
      </c>
      <c r="G40" s="4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 s="3">
        <v>736633.4</v>
      </c>
      <c r="N40" s="3">
        <v>115654.66</v>
      </c>
    </row>
    <row r="41" spans="1:14" ht="14.25">
      <c r="A41" t="s">
        <v>31</v>
      </c>
      <c r="B41" s="2">
        <v>45748</v>
      </c>
      <c r="C41" t="s">
        <v>20</v>
      </c>
      <c r="D41" t="s">
        <v>28</v>
      </c>
      <c r="E41" s="3">
        <v>65012.19</v>
      </c>
      <c r="F41">
        <v>9598</v>
      </c>
      <c r="G41" s="4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 s="3">
        <v>828623.85</v>
      </c>
      <c r="N41" s="3">
        <v>167320.51999999999</v>
      </c>
    </row>
    <row r="42" spans="1:14" ht="14.25">
      <c r="A42" t="s">
        <v>32</v>
      </c>
      <c r="B42" s="2">
        <v>45658</v>
      </c>
      <c r="C42" t="s">
        <v>15</v>
      </c>
      <c r="D42" t="s">
        <v>28</v>
      </c>
      <c r="E42" s="3">
        <v>40462.94</v>
      </c>
      <c r="F42">
        <v>3660</v>
      </c>
      <c r="G42" s="4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 s="3">
        <v>592195.85</v>
      </c>
      <c r="N42" s="3">
        <v>92291.56</v>
      </c>
    </row>
    <row r="43" spans="1:14" ht="14.25">
      <c r="A43" t="s">
        <v>32</v>
      </c>
      <c r="B43" s="2">
        <v>45689</v>
      </c>
      <c r="C43" t="s">
        <v>15</v>
      </c>
      <c r="D43" t="s">
        <v>28</v>
      </c>
      <c r="E43" s="3">
        <v>46123.88</v>
      </c>
      <c r="F43">
        <v>3227</v>
      </c>
      <c r="G43" s="4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 s="3">
        <v>532644.46</v>
      </c>
      <c r="N43" s="3">
        <v>60681.32</v>
      </c>
    </row>
    <row r="44" spans="1:14" ht="14.25">
      <c r="A44" t="s">
        <v>32</v>
      </c>
      <c r="B44" s="2">
        <v>45717</v>
      </c>
      <c r="C44" t="s">
        <v>15</v>
      </c>
      <c r="D44" t="s">
        <v>28</v>
      </c>
      <c r="E44" s="3">
        <v>68077.539999999994</v>
      </c>
      <c r="F44">
        <v>3360</v>
      </c>
      <c r="G44" s="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 s="3">
        <v>657429.18000000005</v>
      </c>
      <c r="N44" s="3">
        <v>88919.74</v>
      </c>
    </row>
    <row r="45" spans="1:14" ht="14.25">
      <c r="A45" t="s">
        <v>32</v>
      </c>
      <c r="B45" s="2">
        <v>45748</v>
      </c>
      <c r="C45" t="s">
        <v>15</v>
      </c>
      <c r="D45" t="s">
        <v>28</v>
      </c>
      <c r="E45" s="3">
        <v>64882.14</v>
      </c>
      <c r="F45">
        <v>3642</v>
      </c>
      <c r="G45" s="4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 s="3">
        <v>605178</v>
      </c>
      <c r="N45" s="3">
        <v>106958.74</v>
      </c>
    </row>
    <row r="46" spans="1:14" ht="14.25">
      <c r="A46" t="s">
        <v>33</v>
      </c>
      <c r="B46" s="2">
        <v>45658</v>
      </c>
      <c r="C46" t="s">
        <v>27</v>
      </c>
      <c r="D46" t="s">
        <v>16</v>
      </c>
      <c r="E46" s="3">
        <v>138855.51</v>
      </c>
      <c r="F46">
        <v>5145</v>
      </c>
      <c r="G46" s="4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 s="3">
        <v>595467.6</v>
      </c>
      <c r="N46" s="3">
        <v>104276.46</v>
      </c>
    </row>
    <row r="47" spans="1:14" ht="14.25">
      <c r="A47" t="s">
        <v>33</v>
      </c>
      <c r="B47" s="2">
        <v>45689</v>
      </c>
      <c r="C47" t="s">
        <v>27</v>
      </c>
      <c r="D47" t="s">
        <v>16</v>
      </c>
      <c r="E47" s="3">
        <v>63630.21</v>
      </c>
      <c r="F47">
        <v>4460</v>
      </c>
      <c r="G47" s="4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 s="3">
        <v>599603.4</v>
      </c>
      <c r="N47" s="3">
        <v>112685.12</v>
      </c>
    </row>
    <row r="48" spans="1:14" ht="14.25">
      <c r="A48" t="s">
        <v>33</v>
      </c>
      <c r="B48" s="2">
        <v>45717</v>
      </c>
      <c r="C48" t="s">
        <v>27</v>
      </c>
      <c r="D48" t="s">
        <v>16</v>
      </c>
      <c r="E48" s="3">
        <v>50043.65</v>
      </c>
      <c r="F48">
        <v>3804</v>
      </c>
      <c r="G48" s="4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 s="3">
        <v>614800.09</v>
      </c>
      <c r="N48" s="3">
        <v>100044.2</v>
      </c>
    </row>
    <row r="49" spans="1:14" ht="14.25">
      <c r="A49" t="s">
        <v>33</v>
      </c>
      <c r="B49" s="2">
        <v>45748</v>
      </c>
      <c r="C49" t="s">
        <v>27</v>
      </c>
      <c r="D49" t="s">
        <v>16</v>
      </c>
      <c r="E49" s="3">
        <v>42093.84</v>
      </c>
      <c r="F49">
        <v>4074</v>
      </c>
      <c r="G49" s="4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 s="3">
        <v>585365.73</v>
      </c>
      <c r="N49" s="3">
        <v>81011.520000000004</v>
      </c>
    </row>
    <row r="50" spans="1:14" ht="14.25">
      <c r="A50" t="s">
        <v>34</v>
      </c>
      <c r="B50" s="2">
        <v>45658</v>
      </c>
      <c r="C50" t="s">
        <v>20</v>
      </c>
      <c r="D50" t="s">
        <v>28</v>
      </c>
      <c r="E50" s="3">
        <v>46624.05</v>
      </c>
      <c r="F50">
        <v>5104</v>
      </c>
      <c r="G50" s="4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 s="3">
        <v>622811.74</v>
      </c>
      <c r="N50" s="3">
        <v>109978.35</v>
      </c>
    </row>
    <row r="51" spans="1:14" ht="14.25">
      <c r="A51" t="s">
        <v>34</v>
      </c>
      <c r="B51" s="2">
        <v>45689</v>
      </c>
      <c r="C51" t="s">
        <v>20</v>
      </c>
      <c r="D51" t="s">
        <v>28</v>
      </c>
      <c r="E51" s="3">
        <v>49710.29</v>
      </c>
      <c r="F51">
        <v>5559</v>
      </c>
      <c r="G51" s="4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 s="3">
        <v>603297.56999999995</v>
      </c>
      <c r="N51" s="3">
        <v>60592.26</v>
      </c>
    </row>
    <row r="52" spans="1:14" ht="14.25">
      <c r="A52" t="s">
        <v>34</v>
      </c>
      <c r="B52" s="2">
        <v>45717</v>
      </c>
      <c r="C52" t="s">
        <v>20</v>
      </c>
      <c r="D52" t="s">
        <v>28</v>
      </c>
      <c r="E52" s="3">
        <v>48287.85</v>
      </c>
      <c r="F52">
        <v>5150</v>
      </c>
      <c r="G52" s="4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 s="3">
        <v>625672.86</v>
      </c>
      <c r="N52" s="3">
        <v>118020.12</v>
      </c>
    </row>
    <row r="53" spans="1:14" ht="14.25">
      <c r="A53" t="s">
        <v>34</v>
      </c>
      <c r="B53" s="2">
        <v>45748</v>
      </c>
      <c r="C53" t="s">
        <v>20</v>
      </c>
      <c r="D53" t="s">
        <v>28</v>
      </c>
      <c r="E53" s="3">
        <v>65312.49</v>
      </c>
      <c r="F53">
        <v>7189</v>
      </c>
      <c r="G53" s="4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 s="3">
        <v>773815.14</v>
      </c>
      <c r="N53" s="3">
        <v>133948.39000000001</v>
      </c>
    </row>
    <row r="54" spans="1:14" ht="14.25">
      <c r="A54" t="s">
        <v>35</v>
      </c>
      <c r="B54" s="2">
        <v>45658</v>
      </c>
      <c r="C54" t="s">
        <v>27</v>
      </c>
      <c r="D54" t="s">
        <v>18</v>
      </c>
      <c r="E54" s="3">
        <v>53015.46</v>
      </c>
      <c r="F54">
        <v>3279</v>
      </c>
      <c r="G54" s="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 s="3">
        <v>463534.25</v>
      </c>
      <c r="N54" s="3">
        <v>81834.539999999994</v>
      </c>
    </row>
    <row r="55" spans="1:14" ht="14.25">
      <c r="A55" t="s">
        <v>35</v>
      </c>
      <c r="B55" s="2">
        <v>45689</v>
      </c>
      <c r="C55" t="s">
        <v>27</v>
      </c>
      <c r="D55" t="s">
        <v>18</v>
      </c>
      <c r="E55" s="3">
        <v>99874.01</v>
      </c>
      <c r="F55">
        <v>5887</v>
      </c>
      <c r="G55" s="4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 s="3">
        <v>746677.75</v>
      </c>
      <c r="N55" s="3">
        <v>122437.84</v>
      </c>
    </row>
    <row r="56" spans="1:14" ht="14.25">
      <c r="A56" t="s">
        <v>35</v>
      </c>
      <c r="B56" s="2">
        <v>45717</v>
      </c>
      <c r="C56" t="s">
        <v>27</v>
      </c>
      <c r="D56" t="s">
        <v>18</v>
      </c>
      <c r="E56" s="3">
        <v>81195.5</v>
      </c>
      <c r="F56">
        <v>5516</v>
      </c>
      <c r="G56" s="4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 s="3">
        <v>720852.5</v>
      </c>
      <c r="N56" s="3">
        <v>98565.62</v>
      </c>
    </row>
    <row r="57" spans="1:14" ht="14.25">
      <c r="A57" t="s">
        <v>35</v>
      </c>
      <c r="B57" s="2">
        <v>45748</v>
      </c>
      <c r="C57" t="s">
        <v>27</v>
      </c>
      <c r="D57" t="s">
        <v>18</v>
      </c>
      <c r="E57" s="3">
        <v>27808.6</v>
      </c>
      <c r="F57">
        <v>2863</v>
      </c>
      <c r="G57" s="4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 s="3">
        <v>487464.91</v>
      </c>
      <c r="N57" s="3">
        <v>64562.26</v>
      </c>
    </row>
    <row r="58" spans="1:14" ht="14.25">
      <c r="A58" t="s">
        <v>36</v>
      </c>
      <c r="B58" s="2">
        <v>45658</v>
      </c>
      <c r="C58" t="s">
        <v>15</v>
      </c>
      <c r="D58" t="s">
        <v>21</v>
      </c>
      <c r="E58" s="3">
        <v>19365.060000000001</v>
      </c>
      <c r="F58">
        <v>2378</v>
      </c>
      <c r="G58" s="4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 s="3">
        <v>518049.26</v>
      </c>
      <c r="N58" s="3">
        <v>108592.49</v>
      </c>
    </row>
    <row r="59" spans="1:14" ht="14.25">
      <c r="A59" t="s">
        <v>36</v>
      </c>
      <c r="B59" s="2">
        <v>45689</v>
      </c>
      <c r="C59" t="s">
        <v>15</v>
      </c>
      <c r="D59" t="s">
        <v>21</v>
      </c>
      <c r="E59" s="3">
        <v>59405.68</v>
      </c>
      <c r="F59">
        <v>2515</v>
      </c>
      <c r="G59" s="4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 s="3">
        <v>500298.48</v>
      </c>
      <c r="N59" s="3">
        <v>73461.320000000007</v>
      </c>
    </row>
    <row r="60" spans="1:14" ht="14.25">
      <c r="A60" t="s">
        <v>36</v>
      </c>
      <c r="B60" s="2">
        <v>45717</v>
      </c>
      <c r="C60" t="s">
        <v>15</v>
      </c>
      <c r="D60" t="s">
        <v>21</v>
      </c>
      <c r="E60" s="3">
        <v>118910.48</v>
      </c>
      <c r="F60">
        <v>4022</v>
      </c>
      <c r="G60" s="4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 s="3">
        <v>617291.15</v>
      </c>
      <c r="N60" s="3">
        <v>117782</v>
      </c>
    </row>
    <row r="61" spans="1:14" ht="14.25">
      <c r="A61" t="s">
        <v>36</v>
      </c>
      <c r="B61" s="2">
        <v>45748</v>
      </c>
      <c r="C61" t="s">
        <v>15</v>
      </c>
      <c r="D61" t="s">
        <v>21</v>
      </c>
      <c r="E61" s="3">
        <v>52952.12</v>
      </c>
      <c r="F61">
        <v>4377</v>
      </c>
      <c r="G61" s="4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 s="3">
        <v>553756.43000000005</v>
      </c>
      <c r="N61" s="3">
        <v>86166.77</v>
      </c>
    </row>
    <row r="62" spans="1:14" ht="14.25">
      <c r="A62" t="s">
        <v>37</v>
      </c>
      <c r="B62" s="2">
        <v>45658</v>
      </c>
      <c r="C62" t="s">
        <v>24</v>
      </c>
      <c r="D62" t="s">
        <v>18</v>
      </c>
      <c r="E62" s="3">
        <v>74907.98</v>
      </c>
      <c r="F62">
        <v>5306</v>
      </c>
      <c r="G62" s="4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 s="3">
        <v>749559.71</v>
      </c>
      <c r="N62" s="3">
        <v>144522.53</v>
      </c>
    </row>
    <row r="63" spans="1:14" ht="14.25">
      <c r="A63" t="s">
        <v>37</v>
      </c>
      <c r="B63" s="2">
        <v>45689</v>
      </c>
      <c r="C63" t="s">
        <v>24</v>
      </c>
      <c r="D63" t="s">
        <v>18</v>
      </c>
      <c r="E63" s="3">
        <v>37284.660000000003</v>
      </c>
      <c r="F63">
        <v>3928</v>
      </c>
      <c r="G63" s="4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 s="3">
        <v>615966.48</v>
      </c>
      <c r="N63" s="3">
        <v>91509.38</v>
      </c>
    </row>
    <row r="64" spans="1:14" ht="14.25">
      <c r="A64" t="s">
        <v>37</v>
      </c>
      <c r="B64" s="2">
        <v>45717</v>
      </c>
      <c r="C64" t="s">
        <v>24</v>
      </c>
      <c r="D64" t="s">
        <v>18</v>
      </c>
      <c r="E64" s="3">
        <v>50343.19</v>
      </c>
      <c r="F64">
        <v>3845</v>
      </c>
      <c r="G64" s="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 s="3">
        <v>572011.19999999995</v>
      </c>
      <c r="N64" s="3">
        <v>101409.68</v>
      </c>
    </row>
    <row r="65" spans="1:14" ht="14.25">
      <c r="A65" t="s">
        <v>37</v>
      </c>
      <c r="B65" s="2">
        <v>45748</v>
      </c>
      <c r="C65" t="s">
        <v>24</v>
      </c>
      <c r="D65" t="s">
        <v>18</v>
      </c>
      <c r="E65" s="3">
        <v>74954.47</v>
      </c>
      <c r="F65">
        <v>6620</v>
      </c>
      <c r="G65" s="4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 s="3">
        <v>761860.19</v>
      </c>
      <c r="N65" s="3">
        <v>133279.38</v>
      </c>
    </row>
    <row r="66" spans="1:14" ht="14.25">
      <c r="A66" t="s">
        <v>38</v>
      </c>
      <c r="B66" s="2">
        <v>45658</v>
      </c>
      <c r="C66" t="s">
        <v>27</v>
      </c>
      <c r="D66" t="s">
        <v>18</v>
      </c>
      <c r="E66" s="3">
        <v>70040.31</v>
      </c>
      <c r="F66">
        <v>9175</v>
      </c>
      <c r="G66" s="4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 s="3">
        <v>784502.68</v>
      </c>
      <c r="N66" s="3">
        <v>129519.72</v>
      </c>
    </row>
    <row r="67" spans="1:14" ht="14.25">
      <c r="A67" t="s">
        <v>38</v>
      </c>
      <c r="B67" s="2">
        <v>45689</v>
      </c>
      <c r="C67" t="s">
        <v>27</v>
      </c>
      <c r="D67" t="s">
        <v>18</v>
      </c>
      <c r="E67" s="3">
        <v>51148.69</v>
      </c>
      <c r="F67">
        <v>7940</v>
      </c>
      <c r="G67" s="4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 s="3">
        <v>717141.55</v>
      </c>
      <c r="N67" s="3">
        <v>134013.60999999999</v>
      </c>
    </row>
    <row r="68" spans="1:14" ht="14.25">
      <c r="A68" t="s">
        <v>38</v>
      </c>
      <c r="B68" s="2">
        <v>45717</v>
      </c>
      <c r="C68" t="s">
        <v>27</v>
      </c>
      <c r="D68" t="s">
        <v>18</v>
      </c>
      <c r="E68" s="3">
        <v>79346.100000000006</v>
      </c>
      <c r="F68">
        <v>9628</v>
      </c>
      <c r="G68" s="4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 s="3">
        <v>685379.08</v>
      </c>
      <c r="N68" s="3">
        <v>106898.82</v>
      </c>
    </row>
    <row r="69" spans="1:14" ht="14.25">
      <c r="A69" t="s">
        <v>38</v>
      </c>
      <c r="B69" s="2">
        <v>45748</v>
      </c>
      <c r="C69" t="s">
        <v>27</v>
      </c>
      <c r="D69" t="s">
        <v>18</v>
      </c>
      <c r="E69" s="3">
        <v>42018.400000000001</v>
      </c>
      <c r="F69">
        <v>8296</v>
      </c>
      <c r="G69" s="4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 s="3">
        <v>740496.65</v>
      </c>
      <c r="N69" s="3">
        <v>128020.9</v>
      </c>
    </row>
    <row r="70" spans="1:14" ht="14.25">
      <c r="A70" t="s">
        <v>39</v>
      </c>
      <c r="B70" s="2">
        <v>45658</v>
      </c>
      <c r="C70" t="s">
        <v>15</v>
      </c>
      <c r="D70" t="s">
        <v>18</v>
      </c>
      <c r="E70" s="3">
        <v>70937.240000000005</v>
      </c>
      <c r="F70">
        <v>3595</v>
      </c>
      <c r="G70" s="4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 s="3">
        <v>661927.14</v>
      </c>
      <c r="N70" s="3">
        <v>79218.570000000007</v>
      </c>
    </row>
    <row r="71" spans="1:14" ht="14.25">
      <c r="A71" t="s">
        <v>39</v>
      </c>
      <c r="B71" s="2">
        <v>45689</v>
      </c>
      <c r="C71" t="s">
        <v>15</v>
      </c>
      <c r="D71" t="s">
        <v>18</v>
      </c>
      <c r="E71" s="3">
        <v>36813.449999999997</v>
      </c>
      <c r="F71">
        <v>2834</v>
      </c>
      <c r="G71" s="4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 s="3">
        <v>479050.5</v>
      </c>
      <c r="N71" s="3">
        <v>53651.11</v>
      </c>
    </row>
    <row r="72" spans="1:14" ht="14.25">
      <c r="A72" t="s">
        <v>39</v>
      </c>
      <c r="B72" s="2">
        <v>45717</v>
      </c>
      <c r="C72" t="s">
        <v>15</v>
      </c>
      <c r="D72" t="s">
        <v>18</v>
      </c>
      <c r="E72" s="3">
        <v>60571.82</v>
      </c>
      <c r="F72">
        <v>3193</v>
      </c>
      <c r="G72" s="4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 s="3">
        <v>605023.87</v>
      </c>
      <c r="N72" s="3">
        <v>98545.81</v>
      </c>
    </row>
    <row r="73" spans="1:14" ht="14.25">
      <c r="A73" t="s">
        <v>39</v>
      </c>
      <c r="B73" s="2">
        <v>45748</v>
      </c>
      <c r="C73" t="s">
        <v>15</v>
      </c>
      <c r="D73" t="s">
        <v>18</v>
      </c>
      <c r="E73" s="3">
        <v>55081.16</v>
      </c>
      <c r="F73">
        <v>5485</v>
      </c>
      <c r="G73" s="4">
        <v>3.5999999999999997E-2</v>
      </c>
      <c r="H73">
        <v>12</v>
      </c>
      <c r="I73">
        <v>88</v>
      </c>
      <c r="J73">
        <v>3.3650000000000002</v>
      </c>
      <c r="K73">
        <v>0</v>
      </c>
      <c r="L73">
        <v>3.5</v>
      </c>
      <c r="M73" s="3">
        <v>674774.09</v>
      </c>
      <c r="N73" s="3">
        <v>141917.59</v>
      </c>
    </row>
    <row r="74" spans="1:14" ht="14.25">
      <c r="A74" t="s">
        <v>40</v>
      </c>
      <c r="B74" s="2">
        <v>45658</v>
      </c>
      <c r="C74" t="s">
        <v>15</v>
      </c>
      <c r="D74" t="s">
        <v>16</v>
      </c>
      <c r="E74" s="3">
        <v>46201.46</v>
      </c>
      <c r="F74">
        <v>5918</v>
      </c>
      <c r="G74" s="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 s="3">
        <v>616069.41</v>
      </c>
      <c r="N74" s="3">
        <v>54453.99</v>
      </c>
    </row>
    <row r="75" spans="1:14" ht="14.25">
      <c r="A75" t="s">
        <v>40</v>
      </c>
      <c r="B75" s="2">
        <v>45689</v>
      </c>
      <c r="C75" t="s">
        <v>15</v>
      </c>
      <c r="D75" t="s">
        <v>16</v>
      </c>
      <c r="E75" s="3">
        <v>53762.92</v>
      </c>
      <c r="F75">
        <v>6821</v>
      </c>
      <c r="G75" s="4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 s="3">
        <v>630829.93999999994</v>
      </c>
      <c r="N75" s="3">
        <v>117090.02</v>
      </c>
    </row>
    <row r="76" spans="1:14" ht="14.25">
      <c r="A76" t="s">
        <v>40</v>
      </c>
      <c r="B76" s="2">
        <v>45717</v>
      </c>
      <c r="C76" t="s">
        <v>15</v>
      </c>
      <c r="D76" t="s">
        <v>16</v>
      </c>
      <c r="E76" s="3">
        <v>70144.78</v>
      </c>
      <c r="F76">
        <v>6806</v>
      </c>
      <c r="G76" s="4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 s="3">
        <v>788087.68</v>
      </c>
      <c r="N76" s="3">
        <v>116803.42</v>
      </c>
    </row>
    <row r="77" spans="1:14" ht="14.25">
      <c r="A77" t="s">
        <v>40</v>
      </c>
      <c r="B77" s="2">
        <v>45748</v>
      </c>
      <c r="C77" t="s">
        <v>15</v>
      </c>
      <c r="D77" t="s">
        <v>16</v>
      </c>
      <c r="E77" s="3">
        <v>58749.63</v>
      </c>
      <c r="F77">
        <v>8252</v>
      </c>
      <c r="G77" s="4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 s="3">
        <v>680840.36</v>
      </c>
      <c r="N77" s="3">
        <v>68007.679999999993</v>
      </c>
    </row>
    <row r="78" spans="1:14" ht="14.25">
      <c r="A78" t="s">
        <v>41</v>
      </c>
      <c r="B78" s="2">
        <v>45658</v>
      </c>
      <c r="C78" t="s">
        <v>24</v>
      </c>
      <c r="D78" t="s">
        <v>18</v>
      </c>
      <c r="E78" s="3">
        <v>56973.18</v>
      </c>
      <c r="F78">
        <v>6662</v>
      </c>
      <c r="G78" s="4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 s="3">
        <v>643657.47</v>
      </c>
      <c r="N78" s="3">
        <v>87022.45</v>
      </c>
    </row>
    <row r="79" spans="1:14" ht="14.25">
      <c r="A79" t="s">
        <v>41</v>
      </c>
      <c r="B79" s="2">
        <v>45689</v>
      </c>
      <c r="C79" t="s">
        <v>24</v>
      </c>
      <c r="D79" t="s">
        <v>18</v>
      </c>
      <c r="E79" s="3">
        <v>54872.82</v>
      </c>
      <c r="F79">
        <v>5962</v>
      </c>
      <c r="G79" s="4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 s="3">
        <v>691112.6</v>
      </c>
      <c r="N79" s="3">
        <v>109212.83</v>
      </c>
    </row>
    <row r="80" spans="1:14" ht="14.25">
      <c r="A80" t="s">
        <v>41</v>
      </c>
      <c r="B80" s="2">
        <v>45717</v>
      </c>
      <c r="C80" t="s">
        <v>24</v>
      </c>
      <c r="D80" t="s">
        <v>18</v>
      </c>
      <c r="E80" s="3">
        <v>80562.81</v>
      </c>
      <c r="F80">
        <v>7470</v>
      </c>
      <c r="G80" s="4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 s="3">
        <v>776922.17</v>
      </c>
      <c r="N80" s="3">
        <v>150701.93</v>
      </c>
    </row>
    <row r="81" spans="1:14" ht="14.25">
      <c r="A81" t="s">
        <v>41</v>
      </c>
      <c r="B81" s="2">
        <v>45748</v>
      </c>
      <c r="C81" t="s">
        <v>24</v>
      </c>
      <c r="D81" t="s">
        <v>18</v>
      </c>
      <c r="E81" s="3">
        <v>77999.899999999994</v>
      </c>
      <c r="F81">
        <v>5974</v>
      </c>
      <c r="G81" s="4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 s="3">
        <v>636561.34</v>
      </c>
      <c r="N81" s="3">
        <v>93861.06</v>
      </c>
    </row>
    <row r="82" spans="1:14" ht="14.25">
      <c r="A82" t="s">
        <v>42</v>
      </c>
      <c r="B82" s="2">
        <v>45658</v>
      </c>
      <c r="C82" t="s">
        <v>27</v>
      </c>
      <c r="D82" t="s">
        <v>28</v>
      </c>
      <c r="E82" s="3">
        <v>60881.01</v>
      </c>
      <c r="F82">
        <v>5410</v>
      </c>
      <c r="G82" s="4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 s="3">
        <v>621369.57999999996</v>
      </c>
      <c r="N82" s="3">
        <v>85493.64</v>
      </c>
    </row>
    <row r="83" spans="1:14" ht="14.25">
      <c r="A83" t="s">
        <v>42</v>
      </c>
      <c r="B83" s="2">
        <v>45689</v>
      </c>
      <c r="C83" t="s">
        <v>27</v>
      </c>
      <c r="D83" t="s">
        <v>28</v>
      </c>
      <c r="E83" s="3">
        <v>60628.38</v>
      </c>
      <c r="F83">
        <v>4451</v>
      </c>
      <c r="G83" s="4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 s="3">
        <v>682208.01</v>
      </c>
      <c r="N83" s="3">
        <v>110318.84</v>
      </c>
    </row>
    <row r="84" spans="1:14" ht="14.25">
      <c r="A84" t="s">
        <v>42</v>
      </c>
      <c r="B84" s="2">
        <v>45717</v>
      </c>
      <c r="C84" t="s">
        <v>27</v>
      </c>
      <c r="D84" t="s">
        <v>28</v>
      </c>
      <c r="E84" s="3">
        <v>72731.14</v>
      </c>
      <c r="F84">
        <v>4644</v>
      </c>
      <c r="G84" s="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 s="3">
        <v>727241.86</v>
      </c>
      <c r="N84" s="3">
        <v>155810.29999999999</v>
      </c>
    </row>
    <row r="85" spans="1:14" ht="14.25">
      <c r="A85" t="s">
        <v>42</v>
      </c>
      <c r="B85" s="2">
        <v>45748</v>
      </c>
      <c r="C85" t="s">
        <v>27</v>
      </c>
      <c r="D85" t="s">
        <v>28</v>
      </c>
      <c r="E85" s="3">
        <v>36475.71</v>
      </c>
      <c r="F85">
        <v>3559</v>
      </c>
      <c r="G85" s="4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 s="3">
        <v>569100.78</v>
      </c>
      <c r="N85" s="3">
        <v>104808.78</v>
      </c>
    </row>
    <row r="86" spans="1:14" ht="14.25">
      <c r="A86" t="s">
        <v>43</v>
      </c>
      <c r="B86" s="2">
        <v>45658</v>
      </c>
      <c r="C86" t="s">
        <v>27</v>
      </c>
      <c r="D86" t="s">
        <v>18</v>
      </c>
      <c r="E86" s="3">
        <v>55388.11</v>
      </c>
      <c r="F86">
        <v>3091</v>
      </c>
      <c r="G86" s="4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 s="3">
        <v>574436.29</v>
      </c>
      <c r="N86" s="3">
        <v>80271.990000000005</v>
      </c>
    </row>
    <row r="87" spans="1:14" ht="14.25">
      <c r="A87" t="s">
        <v>43</v>
      </c>
      <c r="B87" s="2">
        <v>45689</v>
      </c>
      <c r="C87" t="s">
        <v>27</v>
      </c>
      <c r="D87" t="s">
        <v>18</v>
      </c>
      <c r="E87" s="3">
        <v>88443.77</v>
      </c>
      <c r="F87">
        <v>4004</v>
      </c>
      <c r="G87" s="4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 s="3">
        <v>611766.72</v>
      </c>
      <c r="N87" s="3">
        <v>88275.61</v>
      </c>
    </row>
    <row r="88" spans="1:14" ht="14.25">
      <c r="A88" t="s">
        <v>43</v>
      </c>
      <c r="B88" s="2">
        <v>45717</v>
      </c>
      <c r="C88" t="s">
        <v>27</v>
      </c>
      <c r="D88" t="s">
        <v>18</v>
      </c>
      <c r="E88" s="3">
        <v>78231.91</v>
      </c>
      <c r="F88">
        <v>3788</v>
      </c>
      <c r="G88" s="4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 s="3">
        <v>614596.31999999995</v>
      </c>
      <c r="N88" s="3">
        <v>131199.41</v>
      </c>
    </row>
    <row r="89" spans="1:14" ht="14.25">
      <c r="A89" t="s">
        <v>43</v>
      </c>
      <c r="B89" s="2">
        <v>45748</v>
      </c>
      <c r="C89" t="s">
        <v>27</v>
      </c>
      <c r="D89" t="s">
        <v>18</v>
      </c>
      <c r="E89" s="3">
        <v>18996.32</v>
      </c>
      <c r="F89">
        <v>1260</v>
      </c>
      <c r="G89" s="4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 s="3">
        <v>450711.92</v>
      </c>
      <c r="N89" s="3">
        <v>90043.76</v>
      </c>
    </row>
    <row r="90" spans="1:14" ht="14.25">
      <c r="A90" t="s">
        <v>44</v>
      </c>
      <c r="B90" s="2">
        <v>45658</v>
      </c>
      <c r="C90" t="s">
        <v>24</v>
      </c>
      <c r="D90" t="s">
        <v>28</v>
      </c>
      <c r="E90" s="3">
        <v>50517.94</v>
      </c>
      <c r="F90">
        <v>7024</v>
      </c>
      <c r="G90" s="4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 s="3">
        <v>711213.46</v>
      </c>
      <c r="N90" s="3">
        <v>105863.26</v>
      </c>
    </row>
    <row r="91" spans="1:14" ht="14.25">
      <c r="A91" t="s">
        <v>44</v>
      </c>
      <c r="B91" s="2">
        <v>45689</v>
      </c>
      <c r="C91" t="s">
        <v>24</v>
      </c>
      <c r="D91" t="s">
        <v>28</v>
      </c>
      <c r="E91" s="3">
        <v>141540.29</v>
      </c>
      <c r="F91">
        <v>5400</v>
      </c>
      <c r="G91" s="4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 s="3">
        <v>627171.9</v>
      </c>
      <c r="N91" s="3">
        <v>105772.75</v>
      </c>
    </row>
    <row r="92" spans="1:14" ht="14.25">
      <c r="A92" t="s">
        <v>44</v>
      </c>
      <c r="B92" s="2">
        <v>45717</v>
      </c>
      <c r="C92" t="s">
        <v>24</v>
      </c>
      <c r="D92" t="s">
        <v>28</v>
      </c>
      <c r="E92" s="3">
        <v>82116.19</v>
      </c>
      <c r="F92">
        <v>5988</v>
      </c>
      <c r="G92" s="4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 s="3">
        <v>739852.58</v>
      </c>
      <c r="N92" s="3">
        <v>129386.43</v>
      </c>
    </row>
    <row r="93" spans="1:14" ht="14.25">
      <c r="A93" t="s">
        <v>44</v>
      </c>
      <c r="B93" s="2">
        <v>45748</v>
      </c>
      <c r="C93" t="s">
        <v>24</v>
      </c>
      <c r="D93" t="s">
        <v>28</v>
      </c>
      <c r="E93" s="3">
        <v>31207.51</v>
      </c>
      <c r="F93">
        <v>3701</v>
      </c>
      <c r="G93" s="4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 s="3">
        <v>586307.22</v>
      </c>
      <c r="N93" s="3">
        <v>73927.850000000006</v>
      </c>
    </row>
    <row r="94" spans="1:14" ht="14.25">
      <c r="A94" t="s">
        <v>45</v>
      </c>
      <c r="B94" s="2">
        <v>45658</v>
      </c>
      <c r="C94" t="s">
        <v>27</v>
      </c>
      <c r="D94" t="s">
        <v>16</v>
      </c>
      <c r="E94" s="3">
        <v>38966.589999999997</v>
      </c>
      <c r="F94">
        <v>4509</v>
      </c>
      <c r="G94" s="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 s="3">
        <v>585937.48</v>
      </c>
      <c r="N94" s="3">
        <v>82624.2</v>
      </c>
    </row>
    <row r="95" spans="1:14" ht="14.25">
      <c r="A95" t="s">
        <v>45</v>
      </c>
      <c r="B95" s="2">
        <v>45689</v>
      </c>
      <c r="C95" t="s">
        <v>27</v>
      </c>
      <c r="D95" t="s">
        <v>16</v>
      </c>
      <c r="E95" s="3">
        <v>67439.3</v>
      </c>
      <c r="F95">
        <v>6477</v>
      </c>
      <c r="G95" s="4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 s="3">
        <v>753473.55</v>
      </c>
      <c r="N95" s="3">
        <v>151527.22</v>
      </c>
    </row>
    <row r="96" spans="1:14" ht="14.25">
      <c r="A96" t="s">
        <v>45</v>
      </c>
      <c r="B96" s="2">
        <v>45717</v>
      </c>
      <c r="C96" t="s">
        <v>27</v>
      </c>
      <c r="D96" t="s">
        <v>16</v>
      </c>
      <c r="E96" s="3">
        <v>86421.88</v>
      </c>
      <c r="F96">
        <v>7970</v>
      </c>
      <c r="G96" s="4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 s="3">
        <v>838250.32</v>
      </c>
      <c r="N96" s="3">
        <v>122939.34</v>
      </c>
    </row>
    <row r="97" spans="1:14" ht="14.25">
      <c r="A97" t="s">
        <v>45</v>
      </c>
      <c r="B97" s="2">
        <v>45748</v>
      </c>
      <c r="C97" t="s">
        <v>27</v>
      </c>
      <c r="D97" t="s">
        <v>16</v>
      </c>
      <c r="E97" s="3">
        <v>9534.65</v>
      </c>
      <c r="F97">
        <v>6057</v>
      </c>
      <c r="G97" s="4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 s="3">
        <v>607898.12</v>
      </c>
      <c r="N97" s="3">
        <v>135404.85</v>
      </c>
    </row>
    <row r="98" spans="1:14" ht="14.25">
      <c r="A98" t="s">
        <v>46</v>
      </c>
      <c r="B98" s="2">
        <v>45658</v>
      </c>
      <c r="C98" t="s">
        <v>27</v>
      </c>
      <c r="D98" t="s">
        <v>28</v>
      </c>
      <c r="E98" s="3">
        <v>61132.07</v>
      </c>
      <c r="F98">
        <v>6394</v>
      </c>
      <c r="G98" s="4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 s="3">
        <v>691113.62</v>
      </c>
      <c r="N98" s="3">
        <v>135145.44</v>
      </c>
    </row>
    <row r="99" spans="1:14" ht="14.25">
      <c r="A99" t="s">
        <v>46</v>
      </c>
      <c r="B99" s="2">
        <v>45689</v>
      </c>
      <c r="C99" t="s">
        <v>27</v>
      </c>
      <c r="D99" t="s">
        <v>28</v>
      </c>
      <c r="E99" s="3">
        <v>78839.39</v>
      </c>
      <c r="F99">
        <v>5150</v>
      </c>
      <c r="G99" s="4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 s="3">
        <v>735509.4</v>
      </c>
      <c r="N99" s="3">
        <v>83895.96</v>
      </c>
    </row>
    <row r="100" spans="1:14" ht="14.25">
      <c r="A100" t="s">
        <v>46</v>
      </c>
      <c r="B100" s="2">
        <v>45717</v>
      </c>
      <c r="C100" t="s">
        <v>27</v>
      </c>
      <c r="D100" t="s">
        <v>28</v>
      </c>
      <c r="E100" s="3">
        <v>38752.800000000003</v>
      </c>
      <c r="F100">
        <v>4712</v>
      </c>
      <c r="G100" s="4">
        <v>7.4999999999999997E-2</v>
      </c>
      <c r="H100">
        <v>15</v>
      </c>
      <c r="I100">
        <v>89.7</v>
      </c>
      <c r="J100">
        <v>3.3650000000000002</v>
      </c>
      <c r="K100">
        <v>0</v>
      </c>
      <c r="L100">
        <v>4.3</v>
      </c>
      <c r="M100" s="3">
        <v>605775.32999999996</v>
      </c>
      <c r="N100" s="3">
        <v>107194.6</v>
      </c>
    </row>
    <row r="101" spans="1:14" ht="14.25">
      <c r="A101" t="s">
        <v>46</v>
      </c>
      <c r="B101" s="2">
        <v>45748</v>
      </c>
      <c r="C101" t="s">
        <v>27</v>
      </c>
      <c r="D101" t="s">
        <v>28</v>
      </c>
      <c r="E101" s="3">
        <v>55101.1</v>
      </c>
      <c r="F101">
        <v>5281</v>
      </c>
      <c r="G101" s="4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 s="3">
        <v>675177.68</v>
      </c>
      <c r="N101" s="3">
        <v>105628.68</v>
      </c>
    </row>
    <row r="102" spans="1:14" ht="14.25">
      <c r="A102" t="s">
        <v>47</v>
      </c>
      <c r="B102" s="2">
        <v>45658</v>
      </c>
      <c r="C102" t="s">
        <v>15</v>
      </c>
      <c r="D102" t="s">
        <v>28</v>
      </c>
      <c r="E102" s="3">
        <v>53084.76</v>
      </c>
      <c r="F102">
        <v>3642</v>
      </c>
      <c r="G102" s="4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 s="3">
        <v>635181.35</v>
      </c>
      <c r="N102" s="3">
        <v>83341.25</v>
      </c>
    </row>
    <row r="103" spans="1:14" ht="14.25">
      <c r="A103" t="s">
        <v>47</v>
      </c>
      <c r="B103" s="2">
        <v>45689</v>
      </c>
      <c r="C103" t="s">
        <v>15</v>
      </c>
      <c r="D103" t="s">
        <v>28</v>
      </c>
      <c r="E103" s="3">
        <v>63101.59</v>
      </c>
      <c r="F103">
        <v>4373</v>
      </c>
      <c r="G103" s="4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 s="3">
        <v>586626.93999999994</v>
      </c>
      <c r="N103" s="3">
        <v>86498.55</v>
      </c>
    </row>
    <row r="104" spans="1:14" ht="14.25">
      <c r="A104" t="s">
        <v>47</v>
      </c>
      <c r="B104" s="2">
        <v>45717</v>
      </c>
      <c r="C104" t="s">
        <v>15</v>
      </c>
      <c r="D104" t="s">
        <v>28</v>
      </c>
      <c r="E104" s="3">
        <v>90084.4</v>
      </c>
      <c r="F104">
        <v>6832</v>
      </c>
      <c r="G104" s="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 s="3">
        <v>740102.64</v>
      </c>
      <c r="N104" s="3">
        <v>114299.07</v>
      </c>
    </row>
    <row r="105" spans="1:14" ht="14.25">
      <c r="A105" t="s">
        <v>47</v>
      </c>
      <c r="B105" s="2">
        <v>45748</v>
      </c>
      <c r="C105" t="s">
        <v>15</v>
      </c>
      <c r="D105" t="s">
        <v>28</v>
      </c>
      <c r="E105" s="3">
        <v>32266.639999999999</v>
      </c>
      <c r="F105">
        <v>2414</v>
      </c>
      <c r="G105" s="4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 s="3">
        <v>625514.04</v>
      </c>
      <c r="N105" s="3">
        <v>120685.08</v>
      </c>
    </row>
    <row r="106" spans="1:14" ht="14.25">
      <c r="A106" t="s">
        <v>48</v>
      </c>
      <c r="B106" s="2">
        <v>45658</v>
      </c>
      <c r="C106" t="s">
        <v>27</v>
      </c>
      <c r="D106" t="s">
        <v>18</v>
      </c>
      <c r="E106" s="3">
        <v>57919.07</v>
      </c>
      <c r="F106">
        <v>7374</v>
      </c>
      <c r="G106" s="4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 s="3">
        <v>727227.2</v>
      </c>
      <c r="N106" s="3">
        <v>121292.01</v>
      </c>
    </row>
    <row r="107" spans="1:14" ht="14.25">
      <c r="A107" t="s">
        <v>48</v>
      </c>
      <c r="B107" s="2">
        <v>45689</v>
      </c>
      <c r="C107" t="s">
        <v>27</v>
      </c>
      <c r="D107" t="s">
        <v>18</v>
      </c>
      <c r="E107" s="3">
        <v>74679.350000000006</v>
      </c>
      <c r="F107">
        <v>8739</v>
      </c>
      <c r="G107" s="4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 s="3">
        <v>783797.89</v>
      </c>
      <c r="N107" s="3">
        <v>157620.70000000001</v>
      </c>
    </row>
    <row r="108" spans="1:14" ht="14.25">
      <c r="A108" t="s">
        <v>48</v>
      </c>
      <c r="B108" s="2">
        <v>45717</v>
      </c>
      <c r="C108" t="s">
        <v>27</v>
      </c>
      <c r="D108" t="s">
        <v>18</v>
      </c>
      <c r="E108" s="3">
        <v>64294.23</v>
      </c>
      <c r="F108">
        <v>6992</v>
      </c>
      <c r="G108" s="4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 s="3">
        <v>795153.84</v>
      </c>
      <c r="N108" s="3">
        <v>143194.21</v>
      </c>
    </row>
    <row r="109" spans="1:14" ht="14.25">
      <c r="A109" t="s">
        <v>48</v>
      </c>
      <c r="B109" s="2">
        <v>45748</v>
      </c>
      <c r="C109" t="s">
        <v>27</v>
      </c>
      <c r="D109" t="s">
        <v>18</v>
      </c>
      <c r="E109" s="3">
        <v>31042.03</v>
      </c>
      <c r="F109">
        <v>7107</v>
      </c>
      <c r="G109" s="4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 s="3">
        <v>665594.93999999994</v>
      </c>
      <c r="N109" s="3">
        <v>127597.34</v>
      </c>
    </row>
    <row r="110" spans="1:14" ht="14.25">
      <c r="A110" t="s">
        <v>49</v>
      </c>
      <c r="B110" s="2">
        <v>45658</v>
      </c>
      <c r="C110" t="s">
        <v>15</v>
      </c>
      <c r="D110" t="s">
        <v>28</v>
      </c>
      <c r="E110" s="3">
        <v>75265.02</v>
      </c>
      <c r="F110">
        <v>6975</v>
      </c>
      <c r="G110" s="4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 s="3">
        <v>709478.39</v>
      </c>
      <c r="N110" s="3">
        <v>71294.27</v>
      </c>
    </row>
    <row r="111" spans="1:14" ht="14.25">
      <c r="A111" t="s">
        <v>49</v>
      </c>
      <c r="B111" s="2">
        <v>45689</v>
      </c>
      <c r="C111" t="s">
        <v>15</v>
      </c>
      <c r="D111" t="s">
        <v>28</v>
      </c>
      <c r="E111" s="3">
        <v>69411.7</v>
      </c>
      <c r="F111">
        <v>5493</v>
      </c>
      <c r="G111" s="4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 s="3">
        <v>664162.49</v>
      </c>
      <c r="N111" s="3">
        <v>98291.06</v>
      </c>
    </row>
    <row r="112" spans="1:14" ht="14.25">
      <c r="A112" t="s">
        <v>49</v>
      </c>
      <c r="B112" s="2">
        <v>45717</v>
      </c>
      <c r="C112" t="s">
        <v>15</v>
      </c>
      <c r="D112" t="s">
        <v>28</v>
      </c>
      <c r="E112" s="3">
        <v>51056.15</v>
      </c>
      <c r="F112">
        <v>5686</v>
      </c>
      <c r="G112" s="4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 s="3">
        <v>633494.21</v>
      </c>
      <c r="N112" s="3">
        <v>105739.47</v>
      </c>
    </row>
    <row r="113" spans="1:14" ht="14.25">
      <c r="A113" t="s">
        <v>49</v>
      </c>
      <c r="B113" s="2">
        <v>45748</v>
      </c>
      <c r="C113" t="s">
        <v>15</v>
      </c>
      <c r="D113" t="s">
        <v>28</v>
      </c>
      <c r="E113" s="3">
        <v>52758.01</v>
      </c>
      <c r="F113">
        <v>4063</v>
      </c>
      <c r="G113" s="4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 s="3">
        <v>713611.16</v>
      </c>
      <c r="N113" s="3">
        <v>129717.18</v>
      </c>
    </row>
    <row r="114" spans="1:14" ht="14.25">
      <c r="A114" t="s">
        <v>50</v>
      </c>
      <c r="B114" s="2">
        <v>45658</v>
      </c>
      <c r="C114" t="s">
        <v>27</v>
      </c>
      <c r="D114" t="s">
        <v>28</v>
      </c>
      <c r="E114" s="3">
        <v>61426.04</v>
      </c>
      <c r="F114">
        <v>8966</v>
      </c>
      <c r="G114" s="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 s="3">
        <v>778397.97</v>
      </c>
      <c r="N114" s="3">
        <v>120044.41</v>
      </c>
    </row>
    <row r="115" spans="1:14" ht="14.25">
      <c r="A115" t="s">
        <v>50</v>
      </c>
      <c r="B115" s="2">
        <v>45689</v>
      </c>
      <c r="C115" t="s">
        <v>27</v>
      </c>
      <c r="D115" t="s">
        <v>28</v>
      </c>
      <c r="E115" s="3">
        <v>80176.34</v>
      </c>
      <c r="F115">
        <v>9489</v>
      </c>
      <c r="G115" s="4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 s="3">
        <v>873380.02</v>
      </c>
      <c r="N115" s="3">
        <v>149734.76</v>
      </c>
    </row>
    <row r="116" spans="1:14" ht="14.25">
      <c r="A116" t="s">
        <v>50</v>
      </c>
      <c r="B116" s="2">
        <v>45717</v>
      </c>
      <c r="C116" t="s">
        <v>27</v>
      </c>
      <c r="D116" t="s">
        <v>28</v>
      </c>
      <c r="E116" s="3">
        <v>33605.18</v>
      </c>
      <c r="F116">
        <v>9225</v>
      </c>
      <c r="G116" s="4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 s="3">
        <v>697287.9</v>
      </c>
      <c r="N116" s="3">
        <v>128208.33</v>
      </c>
    </row>
    <row r="117" spans="1:14" ht="14.25">
      <c r="A117" t="s">
        <v>50</v>
      </c>
      <c r="B117" s="2">
        <v>45748</v>
      </c>
      <c r="C117" t="s">
        <v>27</v>
      </c>
      <c r="D117" t="s">
        <v>28</v>
      </c>
      <c r="E117" s="3">
        <v>25990.54</v>
      </c>
      <c r="F117">
        <v>9249</v>
      </c>
      <c r="G117" s="4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 s="3">
        <v>718074.79</v>
      </c>
      <c r="N117" s="3">
        <v>115819.87</v>
      </c>
    </row>
    <row r="118" spans="1:14" ht="14.25">
      <c r="A118" t="s">
        <v>51</v>
      </c>
      <c r="B118" s="2">
        <v>45658</v>
      </c>
      <c r="C118" t="s">
        <v>27</v>
      </c>
      <c r="D118" t="s">
        <v>16</v>
      </c>
      <c r="E118" s="3">
        <v>43685.14</v>
      </c>
      <c r="F118">
        <v>7821</v>
      </c>
      <c r="G118" s="4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 s="3">
        <v>714942.43</v>
      </c>
      <c r="N118" s="3">
        <v>94697.71</v>
      </c>
    </row>
    <row r="119" spans="1:14" ht="14.25">
      <c r="A119" t="s">
        <v>51</v>
      </c>
      <c r="B119" s="2">
        <v>45689</v>
      </c>
      <c r="C119" t="s">
        <v>27</v>
      </c>
      <c r="D119" t="s">
        <v>16</v>
      </c>
      <c r="E119" s="3">
        <v>57360.01</v>
      </c>
      <c r="F119">
        <v>8434</v>
      </c>
      <c r="G119" s="4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 s="3">
        <v>820519.04</v>
      </c>
      <c r="N119" s="3">
        <v>99035.88</v>
      </c>
    </row>
    <row r="120" spans="1:14" ht="14.25">
      <c r="A120" t="s">
        <v>51</v>
      </c>
      <c r="B120" s="2">
        <v>45717</v>
      </c>
      <c r="C120" t="s">
        <v>27</v>
      </c>
      <c r="D120" t="s">
        <v>16</v>
      </c>
      <c r="E120" s="3">
        <v>42415.47</v>
      </c>
      <c r="F120">
        <v>8512</v>
      </c>
      <c r="G120" s="4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 s="3">
        <v>684217.32</v>
      </c>
      <c r="N120" s="3">
        <v>136217.19</v>
      </c>
    </row>
    <row r="121" spans="1:14" ht="14.25">
      <c r="A121" t="s">
        <v>51</v>
      </c>
      <c r="B121" s="2">
        <v>45748</v>
      </c>
      <c r="C121" t="s">
        <v>27</v>
      </c>
      <c r="D121" t="s">
        <v>16</v>
      </c>
      <c r="E121" s="3">
        <v>54968.98</v>
      </c>
      <c r="F121">
        <v>7816</v>
      </c>
      <c r="G121" s="4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 s="3">
        <v>735480.19</v>
      </c>
      <c r="N121" s="3">
        <v>88342.11</v>
      </c>
    </row>
    <row r="122" spans="1:14" ht="14.25">
      <c r="A122" t="s">
        <v>52</v>
      </c>
      <c r="B122" s="2">
        <v>45658</v>
      </c>
      <c r="C122" t="s">
        <v>20</v>
      </c>
      <c r="D122" t="s">
        <v>18</v>
      </c>
      <c r="E122" s="3">
        <v>43896.13</v>
      </c>
      <c r="F122">
        <v>3853</v>
      </c>
      <c r="G122" s="4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 s="3">
        <v>509484.81</v>
      </c>
      <c r="N122" s="3">
        <v>85742.36</v>
      </c>
    </row>
    <row r="123" spans="1:14" ht="14.25">
      <c r="A123" t="s">
        <v>52</v>
      </c>
      <c r="B123" s="2">
        <v>45689</v>
      </c>
      <c r="C123" t="s">
        <v>20</v>
      </c>
      <c r="D123" t="s">
        <v>18</v>
      </c>
      <c r="E123" s="3">
        <v>83044.17</v>
      </c>
      <c r="F123">
        <v>3694</v>
      </c>
      <c r="G123" s="4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 s="3">
        <v>654317.09</v>
      </c>
      <c r="N123" s="3">
        <v>121446.89</v>
      </c>
    </row>
    <row r="124" spans="1:14" ht="14.25">
      <c r="A124" t="s">
        <v>52</v>
      </c>
      <c r="B124" s="2">
        <v>45717</v>
      </c>
      <c r="C124" t="s">
        <v>20</v>
      </c>
      <c r="D124" t="s">
        <v>18</v>
      </c>
      <c r="E124" s="3">
        <v>48396.13</v>
      </c>
      <c r="F124">
        <v>4423</v>
      </c>
      <c r="G124" s="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 s="3">
        <v>557487.26</v>
      </c>
      <c r="N124" s="3">
        <v>76432.19</v>
      </c>
    </row>
    <row r="125" spans="1:14" ht="14.25">
      <c r="A125" t="s">
        <v>52</v>
      </c>
      <c r="B125" s="2">
        <v>45748</v>
      </c>
      <c r="C125" t="s">
        <v>20</v>
      </c>
      <c r="D125" t="s">
        <v>18</v>
      </c>
      <c r="E125" s="3">
        <v>19063.48</v>
      </c>
      <c r="F125">
        <v>1906</v>
      </c>
      <c r="G125" s="4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 s="3">
        <v>441275.42</v>
      </c>
      <c r="N125" s="3">
        <v>58234.87</v>
      </c>
    </row>
    <row r="126" spans="1:14" ht="14.25">
      <c r="A126" t="s">
        <v>53</v>
      </c>
      <c r="B126" s="2">
        <v>45658</v>
      </c>
      <c r="C126" t="s">
        <v>24</v>
      </c>
      <c r="D126" t="s">
        <v>18</v>
      </c>
      <c r="E126" s="3">
        <v>61541.21</v>
      </c>
      <c r="F126">
        <v>10396</v>
      </c>
      <c r="G126" s="4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 s="3">
        <v>914544.17</v>
      </c>
      <c r="N126" s="3">
        <v>79831.73</v>
      </c>
    </row>
    <row r="127" spans="1:14" ht="14.25">
      <c r="A127" t="s">
        <v>53</v>
      </c>
      <c r="B127" s="2">
        <v>45689</v>
      </c>
      <c r="C127" t="s">
        <v>24</v>
      </c>
      <c r="D127" t="s">
        <v>18</v>
      </c>
      <c r="E127" s="3">
        <v>44747</v>
      </c>
      <c r="F127">
        <v>11076</v>
      </c>
      <c r="G127" s="4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 s="3">
        <v>842439.67</v>
      </c>
      <c r="N127" s="3">
        <v>169983.63</v>
      </c>
    </row>
    <row r="128" spans="1:14" ht="14.25">
      <c r="A128" t="s">
        <v>53</v>
      </c>
      <c r="B128" s="2">
        <v>45717</v>
      </c>
      <c r="C128" t="s">
        <v>24</v>
      </c>
      <c r="D128" t="s">
        <v>18</v>
      </c>
      <c r="E128" s="3">
        <v>56517.9</v>
      </c>
      <c r="F128">
        <v>9574</v>
      </c>
      <c r="G128" s="4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 s="3">
        <v>842157.92</v>
      </c>
      <c r="N128" s="3">
        <v>107348.22</v>
      </c>
    </row>
    <row r="129" spans="1:14" ht="14.25">
      <c r="A129" t="s">
        <v>53</v>
      </c>
      <c r="B129" s="2">
        <v>45748</v>
      </c>
      <c r="C129" t="s">
        <v>24</v>
      </c>
      <c r="D129" t="s">
        <v>18</v>
      </c>
      <c r="E129" s="3">
        <v>37828.5</v>
      </c>
      <c r="F129">
        <v>8221</v>
      </c>
      <c r="G129" s="4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 s="3">
        <v>697155.3</v>
      </c>
      <c r="N129" s="3">
        <v>136408.54</v>
      </c>
    </row>
    <row r="130" spans="1:14" ht="14.25">
      <c r="A130" t="s">
        <v>54</v>
      </c>
      <c r="B130" s="2">
        <v>45658</v>
      </c>
      <c r="C130" t="s">
        <v>15</v>
      </c>
      <c r="D130" t="s">
        <v>18</v>
      </c>
      <c r="E130" s="3">
        <v>66250.53</v>
      </c>
      <c r="F130">
        <v>10618</v>
      </c>
      <c r="G130" s="4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 s="3">
        <v>849018.3</v>
      </c>
      <c r="N130" s="3">
        <v>149035.13</v>
      </c>
    </row>
    <row r="131" spans="1:14" ht="14.25">
      <c r="A131" t="s">
        <v>54</v>
      </c>
      <c r="B131" s="2">
        <v>45689</v>
      </c>
      <c r="C131" t="s">
        <v>15</v>
      </c>
      <c r="D131" t="s">
        <v>18</v>
      </c>
      <c r="E131" s="3">
        <v>68410.929999999993</v>
      </c>
      <c r="F131">
        <v>10596</v>
      </c>
      <c r="G131" s="4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 s="3">
        <v>801830.35</v>
      </c>
      <c r="N131" s="3">
        <v>114875.32</v>
      </c>
    </row>
    <row r="132" spans="1:14" ht="14.25">
      <c r="A132" t="s">
        <v>54</v>
      </c>
      <c r="B132" s="2">
        <v>45717</v>
      </c>
      <c r="C132" t="s">
        <v>15</v>
      </c>
      <c r="D132" t="s">
        <v>18</v>
      </c>
      <c r="E132" s="3">
        <v>50735.63</v>
      </c>
      <c r="F132">
        <v>9619</v>
      </c>
      <c r="G132" s="4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 s="3">
        <v>725235.28</v>
      </c>
      <c r="N132" s="3">
        <v>121632.24</v>
      </c>
    </row>
    <row r="133" spans="1:14" ht="14.25">
      <c r="A133" t="s">
        <v>54</v>
      </c>
      <c r="B133" s="2">
        <v>45748</v>
      </c>
      <c r="C133" t="s">
        <v>15</v>
      </c>
      <c r="D133" t="s">
        <v>18</v>
      </c>
      <c r="E133" s="3">
        <v>66455.8</v>
      </c>
      <c r="F133">
        <v>10836</v>
      </c>
      <c r="G133" s="4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 s="3">
        <v>811452.72</v>
      </c>
      <c r="N133" s="3">
        <v>131325.67000000001</v>
      </c>
    </row>
    <row r="134" spans="1:14" ht="14.25">
      <c r="A134" t="s">
        <v>55</v>
      </c>
      <c r="B134" s="2">
        <v>45658</v>
      </c>
      <c r="C134" t="s">
        <v>20</v>
      </c>
      <c r="D134" t="s">
        <v>18</v>
      </c>
      <c r="E134" s="3">
        <v>70276.28</v>
      </c>
      <c r="F134">
        <v>3043</v>
      </c>
      <c r="G134" s="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 s="3">
        <v>527300.13</v>
      </c>
      <c r="N134" s="3">
        <v>84197.87</v>
      </c>
    </row>
    <row r="135" spans="1:14" ht="14.25">
      <c r="A135" t="s">
        <v>55</v>
      </c>
      <c r="B135" s="2">
        <v>45689</v>
      </c>
      <c r="C135" t="s">
        <v>20</v>
      </c>
      <c r="D135" t="s">
        <v>18</v>
      </c>
      <c r="E135" s="3">
        <v>22071.64</v>
      </c>
      <c r="F135">
        <v>1814</v>
      </c>
      <c r="G135" s="4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 s="3">
        <v>400831.65</v>
      </c>
      <c r="N135" s="3">
        <v>70979.31</v>
      </c>
    </row>
    <row r="136" spans="1:14" ht="14.25">
      <c r="A136" t="s">
        <v>55</v>
      </c>
      <c r="B136" s="2">
        <v>45717</v>
      </c>
      <c r="C136" t="s">
        <v>20</v>
      </c>
      <c r="D136" t="s">
        <v>18</v>
      </c>
      <c r="E136" s="3">
        <v>52285.45</v>
      </c>
      <c r="F136">
        <v>3618</v>
      </c>
      <c r="G136" s="4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 s="3">
        <v>593247.25</v>
      </c>
      <c r="N136" s="3">
        <v>81240.289999999994</v>
      </c>
    </row>
    <row r="137" spans="1:14" ht="14.25">
      <c r="A137" t="s">
        <v>55</v>
      </c>
      <c r="B137" s="2">
        <v>45748</v>
      </c>
      <c r="C137" t="s">
        <v>20</v>
      </c>
      <c r="D137" t="s">
        <v>18</v>
      </c>
      <c r="E137" s="3">
        <v>70366.759999999995</v>
      </c>
      <c r="F137">
        <v>1963</v>
      </c>
      <c r="G137" s="4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 s="3">
        <v>529075.94999999995</v>
      </c>
      <c r="N137" s="3">
        <v>95978.83</v>
      </c>
    </row>
    <row r="138" spans="1:14" ht="14.25">
      <c r="A138" t="s">
        <v>56</v>
      </c>
      <c r="B138" s="2">
        <v>45658</v>
      </c>
      <c r="C138" t="s">
        <v>24</v>
      </c>
      <c r="D138" t="s">
        <v>16</v>
      </c>
      <c r="E138" s="3">
        <v>71320.66</v>
      </c>
      <c r="F138">
        <v>7888</v>
      </c>
      <c r="G138" s="4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 s="3">
        <v>633638.03</v>
      </c>
      <c r="N138" s="3">
        <v>99402.01</v>
      </c>
    </row>
    <row r="139" spans="1:14" ht="14.25">
      <c r="A139" t="s">
        <v>56</v>
      </c>
      <c r="B139" s="2">
        <v>45689</v>
      </c>
      <c r="C139" t="s">
        <v>24</v>
      </c>
      <c r="D139" t="s">
        <v>16</v>
      </c>
      <c r="E139" s="3">
        <v>75109.67</v>
      </c>
      <c r="F139">
        <v>6244</v>
      </c>
      <c r="G139" s="4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 s="3">
        <v>743348.84</v>
      </c>
      <c r="N139" s="3">
        <v>104186.09</v>
      </c>
    </row>
    <row r="140" spans="1:14" ht="14.25">
      <c r="A140" t="s">
        <v>56</v>
      </c>
      <c r="B140" s="2">
        <v>45717</v>
      </c>
      <c r="C140" t="s">
        <v>24</v>
      </c>
      <c r="D140" t="s">
        <v>16</v>
      </c>
      <c r="E140" s="3">
        <v>69779</v>
      </c>
      <c r="F140">
        <v>6544</v>
      </c>
      <c r="G140" s="4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 s="3">
        <v>758827.64</v>
      </c>
      <c r="N140" s="3">
        <v>161439.48000000001</v>
      </c>
    </row>
    <row r="141" spans="1:14" ht="14.25">
      <c r="A141" t="s">
        <v>56</v>
      </c>
      <c r="B141" s="2">
        <v>45748</v>
      </c>
      <c r="C141" t="s">
        <v>24</v>
      </c>
      <c r="D141" t="s">
        <v>16</v>
      </c>
      <c r="E141" s="3">
        <v>44211.95</v>
      </c>
      <c r="F141">
        <v>5465</v>
      </c>
      <c r="G141" s="4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 s="3">
        <v>646559.71</v>
      </c>
      <c r="N141" s="3">
        <v>97981.75</v>
      </c>
    </row>
    <row r="142" spans="1:14" ht="14.25">
      <c r="A142" t="s">
        <v>57</v>
      </c>
      <c r="B142" s="2">
        <v>45658</v>
      </c>
      <c r="C142" t="s">
        <v>27</v>
      </c>
      <c r="D142" t="s">
        <v>18</v>
      </c>
      <c r="E142" s="3">
        <v>51430.31</v>
      </c>
      <c r="F142">
        <v>6427</v>
      </c>
      <c r="G142" s="4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 s="3">
        <v>715890.53</v>
      </c>
      <c r="N142" s="3">
        <v>109032.15</v>
      </c>
    </row>
    <row r="143" spans="1:14" ht="14.25">
      <c r="A143" t="s">
        <v>57</v>
      </c>
      <c r="B143" s="2">
        <v>45689</v>
      </c>
      <c r="C143" t="s">
        <v>27</v>
      </c>
      <c r="D143" t="s">
        <v>18</v>
      </c>
      <c r="E143" s="3">
        <v>45706.49</v>
      </c>
      <c r="F143">
        <v>6704</v>
      </c>
      <c r="G143" s="4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 s="3">
        <v>715097.57</v>
      </c>
      <c r="N143" s="3">
        <v>151875.85999999999</v>
      </c>
    </row>
    <row r="144" spans="1:14" ht="14.25">
      <c r="A144" t="s">
        <v>57</v>
      </c>
      <c r="B144" s="2">
        <v>45717</v>
      </c>
      <c r="C144" t="s">
        <v>27</v>
      </c>
      <c r="D144" t="s">
        <v>18</v>
      </c>
      <c r="E144" s="3">
        <v>44034.6</v>
      </c>
      <c r="F144">
        <v>5645</v>
      </c>
      <c r="G144" s="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 s="3">
        <v>682639.28</v>
      </c>
      <c r="N144" s="3">
        <v>77557.53</v>
      </c>
    </row>
    <row r="145" spans="1:14" ht="14.25">
      <c r="A145" t="s">
        <v>57</v>
      </c>
      <c r="B145" s="2">
        <v>45748</v>
      </c>
      <c r="C145" t="s">
        <v>27</v>
      </c>
      <c r="D145" t="s">
        <v>18</v>
      </c>
      <c r="E145" s="3">
        <v>50198.12</v>
      </c>
      <c r="F145">
        <v>6089</v>
      </c>
      <c r="G145" s="4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 s="3">
        <v>695098.51</v>
      </c>
      <c r="N145" s="3">
        <v>108192.75</v>
      </c>
    </row>
    <row r="146" spans="1:14" ht="14.25">
      <c r="A146" t="s">
        <v>58</v>
      </c>
      <c r="B146" s="2">
        <v>45658</v>
      </c>
      <c r="C146" t="s">
        <v>20</v>
      </c>
      <c r="D146" t="s">
        <v>16</v>
      </c>
      <c r="E146" s="3">
        <v>70488.2</v>
      </c>
      <c r="F146">
        <v>4312</v>
      </c>
      <c r="G146" s="4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 s="3">
        <v>577732.56999999995</v>
      </c>
      <c r="N146" s="3">
        <v>93804.27</v>
      </c>
    </row>
    <row r="147" spans="1:14" ht="14.25">
      <c r="A147" t="s">
        <v>58</v>
      </c>
      <c r="B147" s="2">
        <v>45689</v>
      </c>
      <c r="C147" t="s">
        <v>20</v>
      </c>
      <c r="D147" t="s">
        <v>16</v>
      </c>
      <c r="E147" s="3">
        <v>50909.27</v>
      </c>
      <c r="F147">
        <v>3152</v>
      </c>
      <c r="G147" s="4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 s="3">
        <v>537058.32999999996</v>
      </c>
      <c r="N147" s="3">
        <v>93555.71</v>
      </c>
    </row>
    <row r="148" spans="1:14" ht="14.25">
      <c r="A148" t="s">
        <v>58</v>
      </c>
      <c r="B148" s="2">
        <v>45717</v>
      </c>
      <c r="C148" t="s">
        <v>20</v>
      </c>
      <c r="D148" t="s">
        <v>16</v>
      </c>
      <c r="E148" s="3">
        <v>53351.7</v>
      </c>
      <c r="F148">
        <v>4259</v>
      </c>
      <c r="G148" s="4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 s="3">
        <v>601568.87</v>
      </c>
      <c r="N148" s="3">
        <v>91634.82</v>
      </c>
    </row>
    <row r="149" spans="1:14" ht="14.25">
      <c r="A149" t="s">
        <v>58</v>
      </c>
      <c r="B149" s="2">
        <v>45748</v>
      </c>
      <c r="C149" t="s">
        <v>20</v>
      </c>
      <c r="D149" t="s">
        <v>16</v>
      </c>
      <c r="E149" s="3">
        <v>60322.400000000001</v>
      </c>
      <c r="F149">
        <v>3350</v>
      </c>
      <c r="G149" s="4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 s="3">
        <v>570964.84</v>
      </c>
      <c r="N149" s="3">
        <v>81331.070000000007</v>
      </c>
    </row>
    <row r="150" spans="1:14" ht="14.25">
      <c r="A150" t="s">
        <v>59</v>
      </c>
      <c r="B150" s="2">
        <v>45658</v>
      </c>
      <c r="C150" t="s">
        <v>24</v>
      </c>
      <c r="D150" t="s">
        <v>28</v>
      </c>
      <c r="E150" s="3">
        <v>51575.68</v>
      </c>
      <c r="F150">
        <v>5329</v>
      </c>
      <c r="G150" s="4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 s="3">
        <v>614024.91</v>
      </c>
      <c r="N150" s="3">
        <v>84828.93</v>
      </c>
    </row>
    <row r="151" spans="1:14" ht="14.25">
      <c r="A151" t="s">
        <v>59</v>
      </c>
      <c r="B151" s="2">
        <v>45689</v>
      </c>
      <c r="C151" t="s">
        <v>24</v>
      </c>
      <c r="D151" t="s">
        <v>28</v>
      </c>
      <c r="E151" s="3">
        <v>43319.94</v>
      </c>
      <c r="F151">
        <v>6551</v>
      </c>
      <c r="G151" s="4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 s="3">
        <v>712868.35</v>
      </c>
      <c r="N151" s="3">
        <v>133650.51</v>
      </c>
    </row>
    <row r="152" spans="1:14" ht="14.25">
      <c r="A152" t="s">
        <v>59</v>
      </c>
      <c r="B152" s="2">
        <v>45717</v>
      </c>
      <c r="C152" t="s">
        <v>24</v>
      </c>
      <c r="D152" t="s">
        <v>28</v>
      </c>
      <c r="E152" s="3">
        <v>47093.55</v>
      </c>
      <c r="F152">
        <v>5550</v>
      </c>
      <c r="G152" s="4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 s="3">
        <v>696744.15</v>
      </c>
      <c r="N152" s="3">
        <v>152230.09</v>
      </c>
    </row>
    <row r="153" spans="1:14" ht="14.25">
      <c r="A153" t="s">
        <v>59</v>
      </c>
      <c r="B153" s="2">
        <v>45748</v>
      </c>
      <c r="C153" t="s">
        <v>24</v>
      </c>
      <c r="D153" t="s">
        <v>28</v>
      </c>
      <c r="E153" s="3">
        <v>71855.09</v>
      </c>
      <c r="F153">
        <v>5911</v>
      </c>
      <c r="G153" s="4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 s="3">
        <v>725847.99</v>
      </c>
      <c r="N153" s="3">
        <v>122698.73</v>
      </c>
    </row>
    <row r="154" spans="1:14" ht="14.25">
      <c r="A154" t="s">
        <v>60</v>
      </c>
      <c r="B154" s="2">
        <v>45658</v>
      </c>
      <c r="C154" t="s">
        <v>15</v>
      </c>
      <c r="D154" t="s">
        <v>18</v>
      </c>
      <c r="E154" s="3">
        <v>75645.23</v>
      </c>
      <c r="F154">
        <v>9674</v>
      </c>
      <c r="G154" s="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 s="3">
        <v>785028.25</v>
      </c>
      <c r="N154" s="3">
        <v>110726.44</v>
      </c>
    </row>
    <row r="155" spans="1:14" ht="14.25">
      <c r="A155" t="s">
        <v>60</v>
      </c>
      <c r="B155" s="2">
        <v>45689</v>
      </c>
      <c r="C155" t="s">
        <v>15</v>
      </c>
      <c r="D155" t="s">
        <v>18</v>
      </c>
      <c r="E155" s="3">
        <v>64374.75</v>
      </c>
      <c r="F155">
        <v>6740</v>
      </c>
      <c r="G155" s="4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 s="3">
        <v>698492.67</v>
      </c>
      <c r="N155" s="3">
        <v>117319.32</v>
      </c>
    </row>
    <row r="156" spans="1:14" ht="14.25">
      <c r="A156" t="s">
        <v>60</v>
      </c>
      <c r="B156" s="2">
        <v>45717</v>
      </c>
      <c r="C156" t="s">
        <v>15</v>
      </c>
      <c r="D156" t="s">
        <v>18</v>
      </c>
      <c r="E156" s="3">
        <v>61433.84</v>
      </c>
      <c r="F156">
        <v>7745</v>
      </c>
      <c r="G156" s="4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 s="3">
        <v>685830.24</v>
      </c>
      <c r="N156" s="3">
        <v>128736.18</v>
      </c>
    </row>
    <row r="157" spans="1:14" ht="14.25">
      <c r="A157" t="s">
        <v>60</v>
      </c>
      <c r="B157" s="2">
        <v>45748</v>
      </c>
      <c r="C157" t="s">
        <v>15</v>
      </c>
      <c r="D157" t="s">
        <v>18</v>
      </c>
      <c r="E157" s="3">
        <v>42698.14</v>
      </c>
      <c r="F157">
        <v>7693</v>
      </c>
      <c r="G157" s="4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 s="3">
        <v>702318.94</v>
      </c>
      <c r="N157" s="3">
        <v>112829.29</v>
      </c>
    </row>
    <row r="158" spans="1:14" ht="14.25">
      <c r="A158" t="s">
        <v>61</v>
      </c>
      <c r="B158" s="2">
        <v>45658</v>
      </c>
      <c r="C158" t="s">
        <v>20</v>
      </c>
      <c r="D158" t="s">
        <v>28</v>
      </c>
      <c r="E158" s="3">
        <v>86883.31</v>
      </c>
      <c r="F158">
        <v>6424</v>
      </c>
      <c r="G158" s="4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 s="3">
        <v>700078.32</v>
      </c>
      <c r="N158" s="3">
        <v>123707.58</v>
      </c>
    </row>
    <row r="159" spans="1:14" ht="14.25">
      <c r="A159" t="s">
        <v>61</v>
      </c>
      <c r="B159" s="2">
        <v>45689</v>
      </c>
      <c r="C159" t="s">
        <v>20</v>
      </c>
      <c r="D159" t="s">
        <v>28</v>
      </c>
      <c r="E159" s="3">
        <v>41863.08</v>
      </c>
      <c r="F159">
        <v>5400</v>
      </c>
      <c r="G159" s="4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 s="3">
        <v>602002.31999999995</v>
      </c>
      <c r="N159" s="3">
        <v>110453.28</v>
      </c>
    </row>
    <row r="160" spans="1:14" ht="14.25">
      <c r="A160" t="s">
        <v>61</v>
      </c>
      <c r="B160" s="2">
        <v>45717</v>
      </c>
      <c r="C160" t="s">
        <v>20</v>
      </c>
      <c r="D160" t="s">
        <v>28</v>
      </c>
      <c r="E160" s="3">
        <v>56918.16</v>
      </c>
      <c r="F160">
        <v>7015</v>
      </c>
      <c r="G160" s="4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 s="3">
        <v>724216.07</v>
      </c>
      <c r="N160" s="3">
        <v>100627.56</v>
      </c>
    </row>
    <row r="161" spans="1:14" ht="14.25">
      <c r="A161" t="s">
        <v>61</v>
      </c>
      <c r="B161" s="2">
        <v>45748</v>
      </c>
      <c r="C161" t="s">
        <v>20</v>
      </c>
      <c r="D161" t="s">
        <v>28</v>
      </c>
      <c r="E161" s="3">
        <v>23254.57</v>
      </c>
      <c r="F161">
        <v>3847</v>
      </c>
      <c r="G161" s="4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 s="3">
        <v>620973.03</v>
      </c>
      <c r="N161" s="3">
        <v>72303.850000000006</v>
      </c>
    </row>
    <row r="162" spans="1:14" ht="14.25">
      <c r="A162" t="s">
        <v>62</v>
      </c>
      <c r="B162" s="2">
        <v>45658</v>
      </c>
      <c r="C162" t="s">
        <v>24</v>
      </c>
      <c r="D162" t="s">
        <v>18</v>
      </c>
      <c r="E162" s="3">
        <v>41443.410000000003</v>
      </c>
      <c r="F162">
        <v>7455</v>
      </c>
      <c r="G162" s="4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 s="3">
        <v>650480.06000000006</v>
      </c>
      <c r="N162" s="3">
        <v>109012.07</v>
      </c>
    </row>
    <row r="163" spans="1:14" ht="14.25">
      <c r="A163" t="s">
        <v>62</v>
      </c>
      <c r="B163" s="2">
        <v>45689</v>
      </c>
      <c r="C163" t="s">
        <v>24</v>
      </c>
      <c r="D163" t="s">
        <v>18</v>
      </c>
      <c r="E163" s="3">
        <v>48438.85</v>
      </c>
      <c r="F163">
        <v>6992</v>
      </c>
      <c r="G163" s="4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 s="3">
        <v>778298.88</v>
      </c>
      <c r="N163" s="3">
        <v>130076.72</v>
      </c>
    </row>
    <row r="164" spans="1:14" ht="14.25">
      <c r="A164" t="s">
        <v>62</v>
      </c>
      <c r="B164" s="2">
        <v>45717</v>
      </c>
      <c r="C164" t="s">
        <v>24</v>
      </c>
      <c r="D164" t="s">
        <v>18</v>
      </c>
      <c r="E164" s="3">
        <v>57143.3</v>
      </c>
      <c r="F164">
        <v>8038</v>
      </c>
      <c r="G164" s="4">
        <v>0.193</v>
      </c>
      <c r="H164">
        <v>17</v>
      </c>
      <c r="I164">
        <v>72.599999999999994</v>
      </c>
      <c r="J164">
        <v>3.3650000000000002</v>
      </c>
      <c r="K164">
        <v>0</v>
      </c>
      <c r="L164">
        <v>4.2</v>
      </c>
      <c r="M164" s="3">
        <v>677096.71</v>
      </c>
      <c r="N164" s="3">
        <v>97174.11</v>
      </c>
    </row>
    <row r="165" spans="1:14" ht="14.25">
      <c r="A165" t="s">
        <v>62</v>
      </c>
      <c r="B165" s="2">
        <v>45748</v>
      </c>
      <c r="C165" t="s">
        <v>24</v>
      </c>
      <c r="D165" t="s">
        <v>18</v>
      </c>
      <c r="E165" s="3">
        <v>66870.62</v>
      </c>
      <c r="F165">
        <v>6055</v>
      </c>
      <c r="G165" s="4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 s="3">
        <v>692008.64</v>
      </c>
      <c r="N165" s="3">
        <v>116337.87</v>
      </c>
    </row>
    <row r="166" spans="1:14" ht="14.25">
      <c r="A166" t="s">
        <v>63</v>
      </c>
      <c r="B166" s="2">
        <v>45658</v>
      </c>
      <c r="C166" t="s">
        <v>20</v>
      </c>
      <c r="D166" t="s">
        <v>28</v>
      </c>
      <c r="E166" s="3">
        <v>72150.53</v>
      </c>
      <c r="F166">
        <v>9323</v>
      </c>
      <c r="G166" s="4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 s="3">
        <v>825797.91</v>
      </c>
      <c r="N166" s="3">
        <v>130945.24</v>
      </c>
    </row>
    <row r="167" spans="1:14" ht="14.25">
      <c r="A167" t="s">
        <v>63</v>
      </c>
      <c r="B167" s="2">
        <v>45689</v>
      </c>
      <c r="C167" t="s">
        <v>20</v>
      </c>
      <c r="D167" t="s">
        <v>28</v>
      </c>
      <c r="E167" s="3">
        <v>35303.300000000003</v>
      </c>
      <c r="F167">
        <v>8789</v>
      </c>
      <c r="G167" s="4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 s="3">
        <v>706285.52</v>
      </c>
      <c r="N167" s="3">
        <v>138014.72</v>
      </c>
    </row>
    <row r="168" spans="1:14" ht="14.25">
      <c r="A168" t="s">
        <v>63</v>
      </c>
      <c r="B168" s="2">
        <v>45717</v>
      </c>
      <c r="C168" t="s">
        <v>20</v>
      </c>
      <c r="D168" t="s">
        <v>28</v>
      </c>
      <c r="E168" s="3">
        <v>30301.86</v>
      </c>
      <c r="F168">
        <v>6939</v>
      </c>
      <c r="G168" s="4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 s="3">
        <v>665534.69999999995</v>
      </c>
      <c r="N168" s="3">
        <v>113167.73</v>
      </c>
    </row>
    <row r="169" spans="1:14" ht="14.25">
      <c r="A169" t="s">
        <v>63</v>
      </c>
      <c r="B169" s="2">
        <v>45748</v>
      </c>
      <c r="C169" t="s">
        <v>20</v>
      </c>
      <c r="D169" t="s">
        <v>28</v>
      </c>
      <c r="E169" s="3">
        <v>78432.14</v>
      </c>
      <c r="F169">
        <v>9440</v>
      </c>
      <c r="G169" s="4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 s="3">
        <v>820729.29</v>
      </c>
      <c r="N169" s="3">
        <v>159325.47</v>
      </c>
    </row>
    <row r="170" spans="1:14" ht="14.25">
      <c r="A170" t="s">
        <v>64</v>
      </c>
      <c r="B170" s="2">
        <v>45658</v>
      </c>
      <c r="C170" t="s">
        <v>15</v>
      </c>
      <c r="D170" t="s">
        <v>16</v>
      </c>
      <c r="E170" s="3">
        <v>62059.18</v>
      </c>
      <c r="F170">
        <v>9374</v>
      </c>
      <c r="G170" s="4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 s="3">
        <v>739831.73</v>
      </c>
      <c r="N170" s="3">
        <v>119490.21</v>
      </c>
    </row>
    <row r="171" spans="1:14" ht="14.25">
      <c r="A171" t="s">
        <v>64</v>
      </c>
      <c r="B171" s="2">
        <v>45689</v>
      </c>
      <c r="C171" t="s">
        <v>15</v>
      </c>
      <c r="D171" t="s">
        <v>16</v>
      </c>
      <c r="E171" s="3">
        <v>32834.480000000003</v>
      </c>
      <c r="F171">
        <v>7576</v>
      </c>
      <c r="G171" s="4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 s="3">
        <v>593637.14</v>
      </c>
      <c r="N171" s="3">
        <v>106648.14</v>
      </c>
    </row>
    <row r="172" spans="1:14" ht="14.25">
      <c r="A172" t="s">
        <v>64</v>
      </c>
      <c r="B172" s="2">
        <v>45717</v>
      </c>
      <c r="C172" t="s">
        <v>15</v>
      </c>
      <c r="D172" t="s">
        <v>16</v>
      </c>
      <c r="E172" s="3">
        <v>50825.08</v>
      </c>
      <c r="F172">
        <v>8949</v>
      </c>
      <c r="G172" s="4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 s="3">
        <v>769702.76</v>
      </c>
      <c r="N172" s="3">
        <v>158697</v>
      </c>
    </row>
    <row r="173" spans="1:14" ht="14.25">
      <c r="A173" t="s">
        <v>64</v>
      </c>
      <c r="B173" s="2">
        <v>45748</v>
      </c>
      <c r="C173" t="s">
        <v>15</v>
      </c>
      <c r="D173" t="s">
        <v>16</v>
      </c>
      <c r="E173" s="3">
        <v>36606.51</v>
      </c>
      <c r="F173">
        <v>7671</v>
      </c>
      <c r="G173" s="4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 s="3">
        <v>679731.57</v>
      </c>
      <c r="N173" s="3">
        <v>121546.42</v>
      </c>
    </row>
    <row r="174" spans="1:14" ht="14.25">
      <c r="A174" t="s">
        <v>65</v>
      </c>
      <c r="B174" s="2">
        <v>45658</v>
      </c>
      <c r="C174" t="s">
        <v>15</v>
      </c>
      <c r="D174" t="s">
        <v>16</v>
      </c>
      <c r="E174" s="3">
        <v>65237.79</v>
      </c>
      <c r="F174">
        <v>8741</v>
      </c>
      <c r="G174" s="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 s="3">
        <v>780344.18</v>
      </c>
      <c r="N174" s="3">
        <v>118239.09</v>
      </c>
    </row>
    <row r="175" spans="1:14" ht="14.25">
      <c r="A175" t="s">
        <v>65</v>
      </c>
      <c r="B175" s="2">
        <v>45689</v>
      </c>
      <c r="C175" t="s">
        <v>15</v>
      </c>
      <c r="D175" t="s">
        <v>16</v>
      </c>
      <c r="E175" s="3">
        <v>43645.98</v>
      </c>
      <c r="F175">
        <v>9480</v>
      </c>
      <c r="G175" s="4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 s="3">
        <v>721364.11</v>
      </c>
      <c r="N175" s="3">
        <v>147272.81</v>
      </c>
    </row>
    <row r="176" spans="1:14" ht="14.25">
      <c r="A176" t="s">
        <v>65</v>
      </c>
      <c r="B176" s="2">
        <v>45717</v>
      </c>
      <c r="C176" t="s">
        <v>15</v>
      </c>
      <c r="D176" t="s">
        <v>16</v>
      </c>
      <c r="E176" s="3">
        <v>68040.149999999994</v>
      </c>
      <c r="F176">
        <v>9826</v>
      </c>
      <c r="G176" s="4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 s="3">
        <v>758138.29</v>
      </c>
      <c r="N176" s="3">
        <v>132975.26</v>
      </c>
    </row>
    <row r="177" spans="1:14" ht="14.25">
      <c r="A177" t="s">
        <v>65</v>
      </c>
      <c r="B177" s="2">
        <v>45748</v>
      </c>
      <c r="C177" t="s">
        <v>15</v>
      </c>
      <c r="D177" t="s">
        <v>16</v>
      </c>
      <c r="E177" s="3">
        <v>63043.94</v>
      </c>
      <c r="F177">
        <v>10402</v>
      </c>
      <c r="G177" s="4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 s="3">
        <v>804264</v>
      </c>
      <c r="N177" s="3">
        <v>167117.91</v>
      </c>
    </row>
    <row r="178" spans="1:14" ht="14.25">
      <c r="A178" t="s">
        <v>66</v>
      </c>
      <c r="B178" s="2">
        <v>45658</v>
      </c>
      <c r="C178" t="s">
        <v>27</v>
      </c>
      <c r="D178" t="s">
        <v>21</v>
      </c>
      <c r="E178" s="3">
        <v>67494.09</v>
      </c>
      <c r="F178">
        <v>12361</v>
      </c>
      <c r="G178" s="4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 s="3">
        <v>887537.75</v>
      </c>
      <c r="N178" s="3">
        <v>160362.92000000001</v>
      </c>
    </row>
    <row r="179" spans="1:14" ht="14.25">
      <c r="A179" t="s">
        <v>66</v>
      </c>
      <c r="B179" s="2">
        <v>45689</v>
      </c>
      <c r="C179" t="s">
        <v>27</v>
      </c>
      <c r="D179" t="s">
        <v>21</v>
      </c>
      <c r="E179" s="3">
        <v>29389.32</v>
      </c>
      <c r="F179">
        <v>7925</v>
      </c>
      <c r="G179" s="4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 s="3">
        <v>783582</v>
      </c>
      <c r="N179" s="3">
        <v>130670.93</v>
      </c>
    </row>
    <row r="180" spans="1:14" ht="14.25">
      <c r="A180" t="s">
        <v>66</v>
      </c>
      <c r="B180" s="2">
        <v>45717</v>
      </c>
      <c r="C180" t="s">
        <v>27</v>
      </c>
      <c r="D180" t="s">
        <v>21</v>
      </c>
      <c r="E180" s="3">
        <v>40535.089999999997</v>
      </c>
      <c r="F180">
        <v>8870</v>
      </c>
      <c r="G180" s="4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 s="3">
        <v>781955.52</v>
      </c>
      <c r="N180" s="3">
        <v>152578.71</v>
      </c>
    </row>
    <row r="181" spans="1:14" ht="14.25">
      <c r="A181" t="s">
        <v>66</v>
      </c>
      <c r="B181" s="2">
        <v>45748</v>
      </c>
      <c r="C181" t="s">
        <v>27</v>
      </c>
      <c r="D181" t="s">
        <v>21</v>
      </c>
      <c r="E181" s="3">
        <v>74881.56</v>
      </c>
      <c r="F181">
        <v>9999</v>
      </c>
      <c r="G181" s="4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 s="3">
        <v>898031.04</v>
      </c>
      <c r="N181" s="3">
        <v>138666.5</v>
      </c>
    </row>
    <row r="182" spans="1:14" ht="14.25">
      <c r="A182" t="s">
        <v>67</v>
      </c>
      <c r="B182" s="2">
        <v>45658</v>
      </c>
      <c r="C182" t="s">
        <v>27</v>
      </c>
      <c r="D182" t="s">
        <v>16</v>
      </c>
      <c r="E182" s="3">
        <v>68491.11</v>
      </c>
      <c r="F182">
        <v>11154</v>
      </c>
      <c r="G182" s="4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 s="3">
        <v>855341.28</v>
      </c>
      <c r="N182" s="3">
        <v>175823.8</v>
      </c>
    </row>
    <row r="183" spans="1:14" ht="14.25">
      <c r="A183" t="s">
        <v>67</v>
      </c>
      <c r="B183" s="2">
        <v>45689</v>
      </c>
      <c r="C183" t="s">
        <v>27</v>
      </c>
      <c r="D183" t="s">
        <v>16</v>
      </c>
      <c r="E183" s="3">
        <v>45209.25</v>
      </c>
      <c r="F183">
        <v>9287</v>
      </c>
      <c r="G183" s="4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 s="3">
        <v>751393.88</v>
      </c>
      <c r="N183" s="3">
        <v>91480.320000000007</v>
      </c>
    </row>
    <row r="184" spans="1:14" ht="14.25">
      <c r="A184" t="s">
        <v>67</v>
      </c>
      <c r="B184" s="2">
        <v>45717</v>
      </c>
      <c r="C184" t="s">
        <v>27</v>
      </c>
      <c r="D184" t="s">
        <v>16</v>
      </c>
      <c r="E184" s="3">
        <v>63010.23</v>
      </c>
      <c r="F184">
        <v>9812</v>
      </c>
      <c r="G184" s="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 s="3">
        <v>761077.08</v>
      </c>
      <c r="N184" s="3">
        <v>113605.93</v>
      </c>
    </row>
    <row r="185" spans="1:14" ht="14.25">
      <c r="A185" t="s">
        <v>67</v>
      </c>
      <c r="B185" s="2">
        <v>45748</v>
      </c>
      <c r="C185" t="s">
        <v>27</v>
      </c>
      <c r="D185" t="s">
        <v>16</v>
      </c>
      <c r="E185" s="3">
        <v>57948.88</v>
      </c>
      <c r="F185">
        <v>10741</v>
      </c>
      <c r="G185" s="4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 s="3">
        <v>819660.59</v>
      </c>
      <c r="N185" s="3">
        <v>172699.95</v>
      </c>
    </row>
    <row r="186" spans="1:14" ht="14.25">
      <c r="A186" t="s">
        <v>68</v>
      </c>
      <c r="B186" s="2">
        <v>45658</v>
      </c>
      <c r="C186" t="s">
        <v>20</v>
      </c>
      <c r="D186" t="s">
        <v>18</v>
      </c>
      <c r="E186" s="3">
        <v>71941.62</v>
      </c>
      <c r="F186">
        <v>6084</v>
      </c>
      <c r="G186" s="4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 s="3">
        <v>681855.56</v>
      </c>
      <c r="N186" s="3">
        <v>117645.61</v>
      </c>
    </row>
    <row r="187" spans="1:14" ht="14.25">
      <c r="A187" t="s">
        <v>68</v>
      </c>
      <c r="B187" s="2">
        <v>45689</v>
      </c>
      <c r="C187" t="s">
        <v>20</v>
      </c>
      <c r="D187" t="s">
        <v>18</v>
      </c>
      <c r="E187" s="3">
        <v>57147.88</v>
      </c>
      <c r="F187">
        <v>5252</v>
      </c>
      <c r="G187" s="4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 s="3">
        <v>678311.17</v>
      </c>
      <c r="N187" s="3">
        <v>132029.76000000001</v>
      </c>
    </row>
    <row r="188" spans="1:14" ht="14.25">
      <c r="A188" t="s">
        <v>68</v>
      </c>
      <c r="B188" s="2">
        <v>45717</v>
      </c>
      <c r="C188" t="s">
        <v>20</v>
      </c>
      <c r="D188" t="s">
        <v>18</v>
      </c>
      <c r="E188" s="3">
        <v>48031.74</v>
      </c>
      <c r="F188">
        <v>6516</v>
      </c>
      <c r="G188" s="4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 s="3">
        <v>765906.95</v>
      </c>
      <c r="N188" s="3">
        <v>114005.9</v>
      </c>
    </row>
    <row r="189" spans="1:14" ht="14.25">
      <c r="A189" t="s">
        <v>68</v>
      </c>
      <c r="B189" s="2">
        <v>45748</v>
      </c>
      <c r="C189" t="s">
        <v>20</v>
      </c>
      <c r="D189" t="s">
        <v>18</v>
      </c>
      <c r="E189" s="3">
        <v>72784.800000000003</v>
      </c>
      <c r="F189">
        <v>7932</v>
      </c>
      <c r="G189" s="4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 s="3">
        <v>712546.38</v>
      </c>
      <c r="N189" s="3">
        <v>101480.04</v>
      </c>
    </row>
    <row r="190" spans="1:14" ht="14.25">
      <c r="A190" t="s">
        <v>69</v>
      </c>
      <c r="B190" s="2">
        <v>45658</v>
      </c>
      <c r="C190" t="s">
        <v>15</v>
      </c>
      <c r="D190" t="s">
        <v>18</v>
      </c>
      <c r="E190" s="3">
        <v>71641.899999999994</v>
      </c>
      <c r="F190">
        <v>3506</v>
      </c>
      <c r="G190" s="4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 s="3">
        <v>625993.82999999996</v>
      </c>
      <c r="N190" s="3">
        <v>98960.320000000007</v>
      </c>
    </row>
    <row r="191" spans="1:14" ht="14.25">
      <c r="A191" t="s">
        <v>69</v>
      </c>
      <c r="B191" s="2">
        <v>45689</v>
      </c>
      <c r="C191" t="s">
        <v>15</v>
      </c>
      <c r="D191" t="s">
        <v>18</v>
      </c>
      <c r="E191" s="3">
        <v>55788.61</v>
      </c>
      <c r="F191">
        <v>2312</v>
      </c>
      <c r="G191" s="4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 s="3">
        <v>550962.93000000005</v>
      </c>
      <c r="N191" s="3">
        <v>97144.58</v>
      </c>
    </row>
    <row r="192" spans="1:14" ht="14.25">
      <c r="A192" t="s">
        <v>69</v>
      </c>
      <c r="B192" s="2">
        <v>45717</v>
      </c>
      <c r="C192" t="s">
        <v>15</v>
      </c>
      <c r="D192" t="s">
        <v>18</v>
      </c>
      <c r="E192" s="3">
        <v>37705.879999999997</v>
      </c>
      <c r="F192">
        <v>1268</v>
      </c>
      <c r="G192" s="4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 s="3">
        <v>443275.59</v>
      </c>
      <c r="N192" s="3">
        <v>53544.36</v>
      </c>
    </row>
    <row r="193" spans="1:14" ht="14.25">
      <c r="A193" t="s">
        <v>69</v>
      </c>
      <c r="B193" s="2">
        <v>45748</v>
      </c>
      <c r="C193" t="s">
        <v>15</v>
      </c>
      <c r="D193" t="s">
        <v>18</v>
      </c>
      <c r="E193" s="3">
        <v>54966.18</v>
      </c>
      <c r="F193">
        <v>4423</v>
      </c>
      <c r="G193" s="4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 s="3">
        <v>554012.06999999995</v>
      </c>
      <c r="N193" s="3">
        <v>81101.62</v>
      </c>
    </row>
    <row r="194" spans="1:14" ht="14.25">
      <c r="A194" t="s">
        <v>70</v>
      </c>
      <c r="B194" s="2">
        <v>45658</v>
      </c>
      <c r="C194" t="s">
        <v>27</v>
      </c>
      <c r="D194" t="s">
        <v>16</v>
      </c>
      <c r="E194" s="3">
        <v>81796.740000000005</v>
      </c>
      <c r="F194">
        <v>6177</v>
      </c>
      <c r="G194" s="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 s="3">
        <v>643428.85</v>
      </c>
      <c r="N194" s="3">
        <v>94477.63</v>
      </c>
    </row>
    <row r="195" spans="1:14" ht="14.25">
      <c r="A195" t="s">
        <v>70</v>
      </c>
      <c r="B195" s="2">
        <v>45689</v>
      </c>
      <c r="C195" t="s">
        <v>27</v>
      </c>
      <c r="D195" t="s">
        <v>16</v>
      </c>
      <c r="E195" s="3">
        <v>51133.43</v>
      </c>
      <c r="F195">
        <v>5150</v>
      </c>
      <c r="G195" s="4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 s="3">
        <v>611924.27</v>
      </c>
      <c r="N195" s="3">
        <v>115488.75</v>
      </c>
    </row>
    <row r="196" spans="1:14" ht="14.25">
      <c r="A196" t="s">
        <v>70</v>
      </c>
      <c r="B196" s="2">
        <v>45717</v>
      </c>
      <c r="C196" t="s">
        <v>27</v>
      </c>
      <c r="D196" t="s">
        <v>16</v>
      </c>
      <c r="E196" s="3">
        <v>40220.18</v>
      </c>
      <c r="F196">
        <v>3783</v>
      </c>
      <c r="G196" s="4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 s="3">
        <v>559422.02</v>
      </c>
      <c r="N196" s="3">
        <v>73528.740000000005</v>
      </c>
    </row>
    <row r="197" spans="1:14" ht="14.25">
      <c r="A197" t="s">
        <v>70</v>
      </c>
      <c r="B197" s="2">
        <v>45748</v>
      </c>
      <c r="C197" t="s">
        <v>27</v>
      </c>
      <c r="D197" t="s">
        <v>16</v>
      </c>
      <c r="E197" s="3">
        <v>41657.64</v>
      </c>
      <c r="F197">
        <v>3135</v>
      </c>
      <c r="G197" s="4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 s="3">
        <v>449465.06</v>
      </c>
      <c r="N197" s="3">
        <v>65694.78</v>
      </c>
    </row>
    <row r="198" spans="1:14" ht="14.25">
      <c r="A198" t="s">
        <v>71</v>
      </c>
      <c r="B198" s="2">
        <v>45658</v>
      </c>
      <c r="C198" t="s">
        <v>20</v>
      </c>
      <c r="D198" t="s">
        <v>16</v>
      </c>
      <c r="E198" s="3">
        <v>71851.45</v>
      </c>
      <c r="F198">
        <v>4970</v>
      </c>
      <c r="G198" s="4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 s="3">
        <v>691447.43</v>
      </c>
      <c r="N198" s="3">
        <v>114077.69</v>
      </c>
    </row>
    <row r="199" spans="1:14" ht="14.25">
      <c r="A199" t="s">
        <v>71</v>
      </c>
      <c r="B199" s="2">
        <v>45689</v>
      </c>
      <c r="C199" t="s">
        <v>20</v>
      </c>
      <c r="D199" t="s">
        <v>16</v>
      </c>
      <c r="E199" s="3">
        <v>54002.83</v>
      </c>
      <c r="F199">
        <v>4366</v>
      </c>
      <c r="G199" s="4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 s="3">
        <v>574066.61</v>
      </c>
      <c r="N199" s="3">
        <v>124674.67</v>
      </c>
    </row>
    <row r="200" spans="1:14" ht="14.25">
      <c r="A200" t="s">
        <v>71</v>
      </c>
      <c r="B200" s="2">
        <v>45717</v>
      </c>
      <c r="C200" t="s">
        <v>20</v>
      </c>
      <c r="D200" t="s">
        <v>16</v>
      </c>
      <c r="E200" s="3">
        <v>54479.33</v>
      </c>
      <c r="F200">
        <v>5012</v>
      </c>
      <c r="G200" s="4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 s="3">
        <v>578949.84</v>
      </c>
      <c r="N200" s="3">
        <v>80253.649999999994</v>
      </c>
    </row>
    <row r="201" spans="1:14" ht="14.25">
      <c r="A201" t="s">
        <v>71</v>
      </c>
      <c r="B201" s="2">
        <v>45748</v>
      </c>
      <c r="C201" t="s">
        <v>20</v>
      </c>
      <c r="D201" t="s">
        <v>16</v>
      </c>
      <c r="E201" s="3">
        <v>61391.8</v>
      </c>
      <c r="F201">
        <v>5575</v>
      </c>
      <c r="G201" s="4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 s="3">
        <v>735786.64</v>
      </c>
      <c r="N201" s="3">
        <v>126540.66</v>
      </c>
    </row>
    <row r="202" spans="1:14" ht="14.25">
      <c r="A202" t="s">
        <v>72</v>
      </c>
      <c r="B202" s="2">
        <v>45658</v>
      </c>
      <c r="C202" t="s">
        <v>15</v>
      </c>
      <c r="D202" t="s">
        <v>21</v>
      </c>
      <c r="E202" s="3">
        <v>22312.93</v>
      </c>
      <c r="F202">
        <v>5955</v>
      </c>
      <c r="G202" s="4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 s="3">
        <v>598904.9</v>
      </c>
      <c r="N202" s="3">
        <v>72861</v>
      </c>
    </row>
    <row r="203" spans="1:14" ht="14.25">
      <c r="A203" t="s">
        <v>72</v>
      </c>
      <c r="B203" s="2">
        <v>45689</v>
      </c>
      <c r="C203" t="s">
        <v>15</v>
      </c>
      <c r="D203" t="s">
        <v>21</v>
      </c>
      <c r="E203" s="3">
        <v>78111.97</v>
      </c>
      <c r="F203">
        <v>6389</v>
      </c>
      <c r="G203" s="4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 s="3">
        <v>787715.51</v>
      </c>
      <c r="N203" s="3">
        <v>128969.62</v>
      </c>
    </row>
    <row r="204" spans="1:14" ht="14.25">
      <c r="A204" t="s">
        <v>72</v>
      </c>
      <c r="B204" s="2">
        <v>45717</v>
      </c>
      <c r="C204" t="s">
        <v>15</v>
      </c>
      <c r="D204" t="s">
        <v>21</v>
      </c>
      <c r="E204" s="3">
        <v>35203.230000000003</v>
      </c>
      <c r="F204">
        <v>6896</v>
      </c>
      <c r="G204" s="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 s="3">
        <v>607084.92000000004</v>
      </c>
      <c r="N204" s="3">
        <v>98558.49</v>
      </c>
    </row>
    <row r="205" spans="1:14" ht="14.25">
      <c r="A205" t="s">
        <v>72</v>
      </c>
      <c r="B205" s="2">
        <v>45748</v>
      </c>
      <c r="C205" t="s">
        <v>15</v>
      </c>
      <c r="D205" t="s">
        <v>21</v>
      </c>
      <c r="E205" s="3">
        <v>64104.28</v>
      </c>
      <c r="F205">
        <v>6015</v>
      </c>
      <c r="G205" s="4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 s="3">
        <v>650795.49</v>
      </c>
      <c r="N205" s="3">
        <v>103035.89</v>
      </c>
    </row>
    <row r="206" spans="1:14" ht="14.25">
      <c r="A206" t="s">
        <v>73</v>
      </c>
      <c r="B206" s="2">
        <v>45658</v>
      </c>
      <c r="C206" t="s">
        <v>15</v>
      </c>
      <c r="D206" t="s">
        <v>28</v>
      </c>
      <c r="E206" s="3">
        <v>92090.14</v>
      </c>
      <c r="F206">
        <v>9476</v>
      </c>
      <c r="G206" s="4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 s="3">
        <v>825060.52</v>
      </c>
      <c r="N206" s="3">
        <v>143613.15</v>
      </c>
    </row>
    <row r="207" spans="1:14" ht="14.25">
      <c r="A207" t="s">
        <v>73</v>
      </c>
      <c r="B207" s="2">
        <v>45689</v>
      </c>
      <c r="C207" t="s">
        <v>15</v>
      </c>
      <c r="D207" t="s">
        <v>28</v>
      </c>
      <c r="E207" s="3">
        <v>54300.87</v>
      </c>
      <c r="F207">
        <v>7875</v>
      </c>
      <c r="G207" s="4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 s="3">
        <v>795464.47</v>
      </c>
      <c r="N207" s="3">
        <v>161150.51999999999</v>
      </c>
    </row>
    <row r="208" spans="1:14" ht="14.25">
      <c r="A208" t="s">
        <v>73</v>
      </c>
      <c r="B208" s="2">
        <v>45717</v>
      </c>
      <c r="C208" t="s">
        <v>15</v>
      </c>
      <c r="D208" t="s">
        <v>28</v>
      </c>
      <c r="E208" s="3">
        <v>37983.35</v>
      </c>
      <c r="F208">
        <v>9283</v>
      </c>
      <c r="G208" s="4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 s="3">
        <v>671868.59</v>
      </c>
      <c r="N208" s="3">
        <v>71003.28</v>
      </c>
    </row>
    <row r="209" spans="1:14" ht="14.25">
      <c r="A209" t="s">
        <v>73</v>
      </c>
      <c r="B209" s="2">
        <v>45748</v>
      </c>
      <c r="C209" t="s">
        <v>15</v>
      </c>
      <c r="D209" t="s">
        <v>28</v>
      </c>
      <c r="E209" s="3">
        <v>56413.83</v>
      </c>
      <c r="F209">
        <v>8303</v>
      </c>
      <c r="G209" s="4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 s="3">
        <v>675917.63</v>
      </c>
      <c r="N209" s="3">
        <v>112564.75</v>
      </c>
    </row>
    <row r="210" spans="1:14" ht="14.25">
      <c r="A210" t="s">
        <v>74</v>
      </c>
      <c r="B210" s="2">
        <v>45658</v>
      </c>
      <c r="C210" t="s">
        <v>15</v>
      </c>
      <c r="D210" t="s">
        <v>18</v>
      </c>
      <c r="E210" s="3">
        <v>63457.19</v>
      </c>
      <c r="F210">
        <v>10125</v>
      </c>
      <c r="G210" s="4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 s="3">
        <v>810446.53</v>
      </c>
      <c r="N210" s="3">
        <v>200575.34</v>
      </c>
    </row>
    <row r="211" spans="1:14" ht="14.25">
      <c r="A211" t="s">
        <v>74</v>
      </c>
      <c r="B211" s="2">
        <v>45689</v>
      </c>
      <c r="C211" t="s">
        <v>15</v>
      </c>
      <c r="D211" t="s">
        <v>18</v>
      </c>
      <c r="E211" s="3">
        <v>62949.7</v>
      </c>
      <c r="F211">
        <v>9458</v>
      </c>
      <c r="G211" s="4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 s="3">
        <v>691288.19</v>
      </c>
      <c r="N211" s="3">
        <v>159074.14000000001</v>
      </c>
    </row>
    <row r="212" spans="1:14" ht="14.25">
      <c r="A212" t="s">
        <v>74</v>
      </c>
      <c r="B212" s="2">
        <v>45717</v>
      </c>
      <c r="C212" t="s">
        <v>15</v>
      </c>
      <c r="D212" t="s">
        <v>18</v>
      </c>
      <c r="E212" s="3">
        <v>107970.19</v>
      </c>
      <c r="F212">
        <v>12870</v>
      </c>
      <c r="G212" s="4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 s="3">
        <v>946833.54</v>
      </c>
      <c r="N212" s="3">
        <v>184540.31</v>
      </c>
    </row>
    <row r="213" spans="1:14" ht="14.25">
      <c r="A213" t="s">
        <v>74</v>
      </c>
      <c r="B213" s="2">
        <v>45748</v>
      </c>
      <c r="C213" t="s">
        <v>15</v>
      </c>
      <c r="D213" t="s">
        <v>18</v>
      </c>
      <c r="E213" s="3">
        <v>49405.75</v>
      </c>
      <c r="F213">
        <v>9752</v>
      </c>
      <c r="G213" s="4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 s="3">
        <v>761963.23</v>
      </c>
      <c r="N213" s="3">
        <v>150113.60999999999</v>
      </c>
    </row>
    <row r="214" spans="1:14" ht="14.25">
      <c r="A214" t="s">
        <v>75</v>
      </c>
      <c r="B214" s="2">
        <v>45658</v>
      </c>
      <c r="C214" t="s">
        <v>27</v>
      </c>
      <c r="D214" t="s">
        <v>16</v>
      </c>
      <c r="E214" s="3">
        <v>50887.46</v>
      </c>
      <c r="F214">
        <v>9505</v>
      </c>
      <c r="G214" s="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 s="3">
        <v>812152.6</v>
      </c>
      <c r="N214" s="3">
        <v>138419.43</v>
      </c>
    </row>
    <row r="215" spans="1:14" ht="14.25">
      <c r="A215" t="s">
        <v>75</v>
      </c>
      <c r="B215" s="2">
        <v>45689</v>
      </c>
      <c r="C215" t="s">
        <v>27</v>
      </c>
      <c r="D215" t="s">
        <v>16</v>
      </c>
      <c r="E215" s="3">
        <v>41819.449999999997</v>
      </c>
      <c r="F215">
        <v>9412</v>
      </c>
      <c r="G215" s="4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 s="3">
        <v>804975.5</v>
      </c>
      <c r="N215" s="3">
        <v>140054.5</v>
      </c>
    </row>
    <row r="216" spans="1:14" ht="14.25">
      <c r="A216" t="s">
        <v>75</v>
      </c>
      <c r="B216" s="2">
        <v>45717</v>
      </c>
      <c r="C216" t="s">
        <v>27</v>
      </c>
      <c r="D216" t="s">
        <v>16</v>
      </c>
      <c r="E216" s="3">
        <v>35296.54</v>
      </c>
      <c r="F216">
        <v>9644</v>
      </c>
      <c r="G216" s="4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 s="3">
        <v>752321.72</v>
      </c>
      <c r="N216" s="3">
        <v>137788.51</v>
      </c>
    </row>
    <row r="217" spans="1:14" ht="14.25">
      <c r="A217" t="s">
        <v>75</v>
      </c>
      <c r="B217" s="2">
        <v>45748</v>
      </c>
      <c r="C217" t="s">
        <v>27</v>
      </c>
      <c r="D217" t="s">
        <v>16</v>
      </c>
      <c r="E217" s="3">
        <v>47391.09</v>
      </c>
      <c r="F217">
        <v>11224</v>
      </c>
      <c r="G217" s="4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 s="3">
        <v>836908.24</v>
      </c>
      <c r="N217" s="3">
        <v>141090.26</v>
      </c>
    </row>
    <row r="218" spans="1:14" ht="14.25">
      <c r="A218" t="s">
        <v>76</v>
      </c>
      <c r="B218" s="2">
        <v>45658</v>
      </c>
      <c r="C218" t="s">
        <v>20</v>
      </c>
      <c r="D218" t="s">
        <v>21</v>
      </c>
      <c r="E218" s="3">
        <v>69180.539999999994</v>
      </c>
      <c r="F218">
        <v>5394</v>
      </c>
      <c r="G218" s="4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 s="3">
        <v>674289.1</v>
      </c>
      <c r="N218" s="3">
        <v>117773.79</v>
      </c>
    </row>
    <row r="219" spans="1:14" ht="14.25">
      <c r="A219" t="s">
        <v>76</v>
      </c>
      <c r="B219" s="2">
        <v>45689</v>
      </c>
      <c r="C219" t="s">
        <v>20</v>
      </c>
      <c r="D219" t="s">
        <v>21</v>
      </c>
      <c r="E219" s="3">
        <v>33987.33</v>
      </c>
      <c r="F219">
        <v>5014</v>
      </c>
      <c r="G219" s="4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 s="3">
        <v>622892.42000000004</v>
      </c>
      <c r="N219" s="3">
        <v>101032.52</v>
      </c>
    </row>
    <row r="220" spans="1:14" ht="14.25">
      <c r="A220" t="s">
        <v>76</v>
      </c>
      <c r="B220" s="2">
        <v>45717</v>
      </c>
      <c r="C220" t="s">
        <v>20</v>
      </c>
      <c r="D220" t="s">
        <v>21</v>
      </c>
      <c r="E220" s="3">
        <v>58785.33</v>
      </c>
      <c r="F220">
        <v>4467</v>
      </c>
      <c r="G220" s="4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 s="3">
        <v>673348.56</v>
      </c>
      <c r="N220" s="3">
        <v>69464.59</v>
      </c>
    </row>
    <row r="221" spans="1:14" ht="14.25">
      <c r="A221" t="s">
        <v>76</v>
      </c>
      <c r="B221" s="2">
        <v>45748</v>
      </c>
      <c r="C221" t="s">
        <v>20</v>
      </c>
      <c r="D221" t="s">
        <v>21</v>
      </c>
      <c r="E221" s="3">
        <v>16451.849999999999</v>
      </c>
      <c r="F221">
        <v>4678</v>
      </c>
      <c r="G221" s="4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 s="3">
        <v>606278.30000000005</v>
      </c>
      <c r="N221" s="3">
        <v>102213.26</v>
      </c>
    </row>
    <row r="222" spans="1:14" ht="14.25">
      <c r="A222" t="s">
        <v>77</v>
      </c>
      <c r="B222" s="2">
        <v>45658</v>
      </c>
      <c r="C222" t="s">
        <v>15</v>
      </c>
      <c r="D222" t="s">
        <v>18</v>
      </c>
      <c r="E222" s="3">
        <v>53367.73</v>
      </c>
      <c r="F222">
        <v>7291</v>
      </c>
      <c r="G222" s="4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 s="3">
        <v>712219.81</v>
      </c>
      <c r="N222" s="3">
        <v>85906.54</v>
      </c>
    </row>
    <row r="223" spans="1:14" ht="14.25">
      <c r="A223" t="s">
        <v>77</v>
      </c>
      <c r="B223" s="2">
        <v>45689</v>
      </c>
      <c r="C223" t="s">
        <v>15</v>
      </c>
      <c r="D223" t="s">
        <v>18</v>
      </c>
      <c r="E223" s="3">
        <v>27194.639999999999</v>
      </c>
      <c r="F223">
        <v>7404</v>
      </c>
      <c r="G223" s="4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 s="3">
        <v>672670.54</v>
      </c>
      <c r="N223" s="3">
        <v>132684.18</v>
      </c>
    </row>
    <row r="224" spans="1:14" ht="14.25">
      <c r="A224" t="s">
        <v>77</v>
      </c>
      <c r="B224" s="2">
        <v>45717</v>
      </c>
      <c r="C224" t="s">
        <v>15</v>
      </c>
      <c r="D224" t="s">
        <v>18</v>
      </c>
      <c r="E224" s="3">
        <v>66962.740000000005</v>
      </c>
      <c r="F224">
        <v>7880</v>
      </c>
      <c r="G224" s="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 s="3">
        <v>732667.92</v>
      </c>
      <c r="N224" s="3">
        <v>128654.46</v>
      </c>
    </row>
    <row r="225" spans="1:14" ht="14.25">
      <c r="A225" t="s">
        <v>77</v>
      </c>
      <c r="B225" s="2">
        <v>45748</v>
      </c>
      <c r="C225" t="s">
        <v>15</v>
      </c>
      <c r="D225" t="s">
        <v>18</v>
      </c>
      <c r="E225" s="3">
        <v>73540.990000000005</v>
      </c>
      <c r="F225">
        <v>8773</v>
      </c>
      <c r="G225" s="4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 s="3">
        <v>723531.4</v>
      </c>
      <c r="N225" s="3">
        <v>108794.85</v>
      </c>
    </row>
    <row r="226" spans="1:14" ht="14.25">
      <c r="A226" t="s">
        <v>78</v>
      </c>
      <c r="B226" s="2">
        <v>45658</v>
      </c>
      <c r="C226" t="s">
        <v>15</v>
      </c>
      <c r="D226" t="s">
        <v>28</v>
      </c>
      <c r="E226" s="3">
        <v>68212.289999999994</v>
      </c>
      <c r="F226">
        <v>4713</v>
      </c>
      <c r="G226" s="4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 s="3">
        <v>641564.6</v>
      </c>
      <c r="N226" s="3">
        <v>90468.96</v>
      </c>
    </row>
    <row r="227" spans="1:14" ht="14.25">
      <c r="A227" t="s">
        <v>78</v>
      </c>
      <c r="B227" s="2">
        <v>45689</v>
      </c>
      <c r="C227" t="s">
        <v>15</v>
      </c>
      <c r="D227" t="s">
        <v>28</v>
      </c>
      <c r="E227" s="3">
        <v>57225.98</v>
      </c>
      <c r="F227">
        <v>2842</v>
      </c>
      <c r="G227" s="4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 s="3">
        <v>536545.49</v>
      </c>
      <c r="N227" s="3">
        <v>97917.45</v>
      </c>
    </row>
    <row r="228" spans="1:14" ht="14.25">
      <c r="A228" t="s">
        <v>78</v>
      </c>
      <c r="B228" s="2">
        <v>45717</v>
      </c>
      <c r="C228" t="s">
        <v>15</v>
      </c>
      <c r="D228" t="s">
        <v>28</v>
      </c>
      <c r="E228" s="3">
        <v>42932.02</v>
      </c>
      <c r="F228">
        <v>3872</v>
      </c>
      <c r="G228" s="4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 s="3">
        <v>527681.56000000006</v>
      </c>
      <c r="N228" s="3">
        <v>63153.05</v>
      </c>
    </row>
    <row r="229" spans="1:14" ht="14.25">
      <c r="A229" t="s">
        <v>78</v>
      </c>
      <c r="B229" s="2">
        <v>45748</v>
      </c>
      <c r="C229" t="s">
        <v>15</v>
      </c>
      <c r="D229" t="s">
        <v>28</v>
      </c>
      <c r="E229" s="3">
        <v>39341.449999999997</v>
      </c>
      <c r="F229">
        <v>1375</v>
      </c>
      <c r="G229" s="4">
        <v>9.2999999999999999E-2</v>
      </c>
      <c r="H229">
        <v>5</v>
      </c>
      <c r="I229">
        <v>95</v>
      </c>
      <c r="J229">
        <v>5.32</v>
      </c>
      <c r="K229">
        <v>0</v>
      </c>
      <c r="L229">
        <v>3.9</v>
      </c>
      <c r="M229" s="3">
        <v>529598.93999999994</v>
      </c>
      <c r="N229" s="3">
        <v>84334.33</v>
      </c>
    </row>
    <row r="230" spans="1:14" ht="14.25">
      <c r="A230" t="s">
        <v>79</v>
      </c>
      <c r="B230" s="2">
        <v>45658</v>
      </c>
      <c r="C230" t="s">
        <v>15</v>
      </c>
      <c r="D230" t="s">
        <v>18</v>
      </c>
      <c r="E230" s="3">
        <v>37324.230000000003</v>
      </c>
      <c r="F230">
        <v>5957</v>
      </c>
      <c r="G230" s="4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 s="3">
        <v>570963.31000000006</v>
      </c>
      <c r="N230" s="3">
        <v>87342.25</v>
      </c>
    </row>
    <row r="231" spans="1:14" ht="14.25">
      <c r="A231" t="s">
        <v>79</v>
      </c>
      <c r="B231" s="2">
        <v>45689</v>
      </c>
      <c r="C231" t="s">
        <v>15</v>
      </c>
      <c r="D231" t="s">
        <v>18</v>
      </c>
      <c r="E231" s="3">
        <v>113736</v>
      </c>
      <c r="F231">
        <v>8961</v>
      </c>
      <c r="G231" s="4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 s="3">
        <v>870937.4</v>
      </c>
      <c r="N231" s="3">
        <v>175282.74</v>
      </c>
    </row>
    <row r="232" spans="1:14" ht="14.25">
      <c r="A232" t="s">
        <v>79</v>
      </c>
      <c r="B232" s="2">
        <v>45717</v>
      </c>
      <c r="C232" t="s">
        <v>15</v>
      </c>
      <c r="D232" t="s">
        <v>18</v>
      </c>
      <c r="E232" s="3">
        <v>33173.949999999997</v>
      </c>
      <c r="F232">
        <v>6545</v>
      </c>
      <c r="G232" s="4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 s="3">
        <v>596969.27</v>
      </c>
      <c r="N232" s="3">
        <v>105669.51</v>
      </c>
    </row>
    <row r="233" spans="1:14" ht="14.25">
      <c r="A233" t="s">
        <v>79</v>
      </c>
      <c r="B233" s="2">
        <v>45748</v>
      </c>
      <c r="C233" t="s">
        <v>15</v>
      </c>
      <c r="D233" t="s">
        <v>18</v>
      </c>
      <c r="E233" s="3">
        <v>25818.080000000002</v>
      </c>
      <c r="F233">
        <v>5457</v>
      </c>
      <c r="G233" s="4">
        <v>0</v>
      </c>
      <c r="H233">
        <v>11</v>
      </c>
      <c r="I233">
        <v>95.4</v>
      </c>
      <c r="J233">
        <v>3.3650000000000002</v>
      </c>
      <c r="K233">
        <v>0</v>
      </c>
      <c r="L233">
        <v>3.7</v>
      </c>
      <c r="M233" s="3">
        <v>647512.85</v>
      </c>
      <c r="N233" s="3">
        <v>153835.57</v>
      </c>
    </row>
    <row r="234" spans="1:14" ht="14.25">
      <c r="A234" t="s">
        <v>80</v>
      </c>
      <c r="B234" s="2">
        <v>45658</v>
      </c>
      <c r="C234" t="s">
        <v>27</v>
      </c>
      <c r="D234" t="s">
        <v>16</v>
      </c>
      <c r="E234" s="3">
        <v>47241.919999999998</v>
      </c>
      <c r="F234">
        <v>4264</v>
      </c>
      <c r="G234" s="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 s="3">
        <v>658072.14</v>
      </c>
      <c r="N234" s="3">
        <v>110595.89</v>
      </c>
    </row>
    <row r="235" spans="1:14" ht="14.25">
      <c r="A235" t="s">
        <v>80</v>
      </c>
      <c r="B235" s="2">
        <v>45689</v>
      </c>
      <c r="C235" t="s">
        <v>27</v>
      </c>
      <c r="D235" t="s">
        <v>16</v>
      </c>
      <c r="E235" s="3">
        <v>61650.79</v>
      </c>
      <c r="F235">
        <v>5321</v>
      </c>
      <c r="G235" s="4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 s="3">
        <v>723305.11</v>
      </c>
      <c r="N235" s="3">
        <v>128468.7</v>
      </c>
    </row>
    <row r="236" spans="1:14" ht="14.25">
      <c r="A236" t="s">
        <v>80</v>
      </c>
      <c r="B236" s="2">
        <v>45717</v>
      </c>
      <c r="C236" t="s">
        <v>27</v>
      </c>
      <c r="D236" t="s">
        <v>16</v>
      </c>
      <c r="E236" s="3">
        <v>62582.71</v>
      </c>
      <c r="F236">
        <v>5479</v>
      </c>
      <c r="G236" s="4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 s="3">
        <v>640666.53</v>
      </c>
      <c r="N236" s="3">
        <v>134919.16</v>
      </c>
    </row>
    <row r="237" spans="1:14" ht="14.25">
      <c r="A237" t="s">
        <v>80</v>
      </c>
      <c r="B237" s="2">
        <v>45748</v>
      </c>
      <c r="C237" t="s">
        <v>27</v>
      </c>
      <c r="D237" t="s">
        <v>16</v>
      </c>
      <c r="E237" s="3">
        <v>47944.14</v>
      </c>
      <c r="F237">
        <v>6169</v>
      </c>
      <c r="G237" s="4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 s="3">
        <v>670629.48</v>
      </c>
      <c r="N237" s="3">
        <v>100140.8</v>
      </c>
    </row>
    <row r="238" spans="1:14" ht="14.25">
      <c r="A238" t="s">
        <v>81</v>
      </c>
      <c r="B238" s="2">
        <v>45658</v>
      </c>
      <c r="C238" t="s">
        <v>27</v>
      </c>
      <c r="D238" t="s">
        <v>28</v>
      </c>
      <c r="E238" s="3">
        <v>46495.4</v>
      </c>
      <c r="F238">
        <v>9908</v>
      </c>
      <c r="G238" s="4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 s="3">
        <v>721079.35</v>
      </c>
      <c r="N238" s="3">
        <v>115295.05</v>
      </c>
    </row>
    <row r="239" spans="1:14" ht="14.25">
      <c r="A239" t="s">
        <v>81</v>
      </c>
      <c r="B239" s="2">
        <v>45689</v>
      </c>
      <c r="C239" t="s">
        <v>27</v>
      </c>
      <c r="D239" t="s">
        <v>28</v>
      </c>
      <c r="E239" s="3">
        <v>72961.95</v>
      </c>
      <c r="F239">
        <v>9996</v>
      </c>
      <c r="G239" s="4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 s="3">
        <v>810355.02</v>
      </c>
      <c r="N239" s="3">
        <v>131510</v>
      </c>
    </row>
    <row r="240" spans="1:14" ht="14.25">
      <c r="A240" t="s">
        <v>81</v>
      </c>
      <c r="B240" s="2">
        <v>45717</v>
      </c>
      <c r="C240" t="s">
        <v>27</v>
      </c>
      <c r="D240" t="s">
        <v>28</v>
      </c>
      <c r="E240" s="3">
        <v>59060.05</v>
      </c>
      <c r="F240">
        <v>9702</v>
      </c>
      <c r="G240" s="4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 s="3">
        <v>761919.25</v>
      </c>
      <c r="N240" s="3">
        <v>111893.06</v>
      </c>
    </row>
    <row r="241" spans="1:14" ht="14.25">
      <c r="A241" t="s">
        <v>81</v>
      </c>
      <c r="B241" s="2">
        <v>45748</v>
      </c>
      <c r="C241" t="s">
        <v>27</v>
      </c>
      <c r="D241" t="s">
        <v>28</v>
      </c>
      <c r="E241" s="3">
        <v>26248.1</v>
      </c>
      <c r="F241">
        <v>9314</v>
      </c>
      <c r="G241" s="4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 s="3">
        <v>737070.18</v>
      </c>
      <c r="N241" s="3">
        <v>117593.97</v>
      </c>
    </row>
    <row r="242" spans="1:14" ht="14.25">
      <c r="A242" t="s">
        <v>82</v>
      </c>
      <c r="B242" s="2">
        <v>45658</v>
      </c>
      <c r="C242" t="s">
        <v>24</v>
      </c>
      <c r="D242" t="s">
        <v>21</v>
      </c>
      <c r="E242" s="3">
        <v>69900.12</v>
      </c>
      <c r="F242">
        <v>8055</v>
      </c>
      <c r="G242" s="4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 s="3">
        <v>776992.93</v>
      </c>
      <c r="N242" s="3">
        <v>101598.32</v>
      </c>
    </row>
    <row r="243" spans="1:14" ht="14.25">
      <c r="A243" t="s">
        <v>82</v>
      </c>
      <c r="B243" s="2">
        <v>45689</v>
      </c>
      <c r="C243" t="s">
        <v>24</v>
      </c>
      <c r="D243" t="s">
        <v>21</v>
      </c>
      <c r="E243" s="3">
        <v>51781.599999999999</v>
      </c>
      <c r="F243">
        <v>5648</v>
      </c>
      <c r="G243" s="4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 s="3">
        <v>676337.41</v>
      </c>
      <c r="N243" s="3">
        <v>104355.77</v>
      </c>
    </row>
    <row r="244" spans="1:14" ht="14.25">
      <c r="A244" t="s">
        <v>82</v>
      </c>
      <c r="B244" s="2">
        <v>45717</v>
      </c>
      <c r="C244" t="s">
        <v>24</v>
      </c>
      <c r="D244" t="s">
        <v>21</v>
      </c>
      <c r="E244" s="3">
        <v>70799.64</v>
      </c>
      <c r="F244">
        <v>10076</v>
      </c>
      <c r="G244" s="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 s="3">
        <v>828219.67</v>
      </c>
      <c r="N244" s="3">
        <v>179806.87</v>
      </c>
    </row>
    <row r="245" spans="1:14" ht="14.25">
      <c r="A245" t="s">
        <v>82</v>
      </c>
      <c r="B245" s="2">
        <v>45748</v>
      </c>
      <c r="C245" t="s">
        <v>24</v>
      </c>
      <c r="D245" t="s">
        <v>21</v>
      </c>
      <c r="E245" s="3">
        <v>53546.34</v>
      </c>
      <c r="F245">
        <v>8004</v>
      </c>
      <c r="G245" s="4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 s="3">
        <v>763159.92</v>
      </c>
      <c r="N245" s="3">
        <v>177104.87</v>
      </c>
    </row>
    <row r="246" spans="1:14" ht="14.25">
      <c r="A246" t="s">
        <v>83</v>
      </c>
      <c r="B246" s="2">
        <v>45658</v>
      </c>
      <c r="C246" t="s">
        <v>15</v>
      </c>
      <c r="D246" t="s">
        <v>18</v>
      </c>
      <c r="E246" s="3">
        <v>76942.2</v>
      </c>
      <c r="F246">
        <v>8934</v>
      </c>
      <c r="G246" s="4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 s="3">
        <v>802001.68</v>
      </c>
      <c r="N246" s="3">
        <v>159715.82</v>
      </c>
    </row>
    <row r="247" spans="1:14" ht="14.25">
      <c r="A247" t="s">
        <v>83</v>
      </c>
      <c r="B247" s="2">
        <v>45689</v>
      </c>
      <c r="C247" t="s">
        <v>15</v>
      </c>
      <c r="D247" t="s">
        <v>18</v>
      </c>
      <c r="E247" s="3">
        <v>48060.78</v>
      </c>
      <c r="F247">
        <v>8733</v>
      </c>
      <c r="G247" s="4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 s="3">
        <v>750471.34</v>
      </c>
      <c r="N247" s="3">
        <v>133788.04</v>
      </c>
    </row>
    <row r="248" spans="1:14" ht="14.25">
      <c r="A248" t="s">
        <v>83</v>
      </c>
      <c r="B248" s="2">
        <v>45717</v>
      </c>
      <c r="C248" t="s">
        <v>15</v>
      </c>
      <c r="D248" t="s">
        <v>18</v>
      </c>
      <c r="E248" s="3">
        <v>57390.04</v>
      </c>
      <c r="F248">
        <v>7374</v>
      </c>
      <c r="G248" s="4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 s="3">
        <v>679230.86</v>
      </c>
      <c r="N248" s="3">
        <v>106927.58</v>
      </c>
    </row>
    <row r="249" spans="1:14" ht="14.25">
      <c r="A249" t="s">
        <v>83</v>
      </c>
      <c r="B249" s="2">
        <v>45748</v>
      </c>
      <c r="C249" t="s">
        <v>15</v>
      </c>
      <c r="D249" t="s">
        <v>18</v>
      </c>
      <c r="E249" s="3">
        <v>21536.18</v>
      </c>
      <c r="F249">
        <v>8119</v>
      </c>
      <c r="G249" s="4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 s="3">
        <v>679888.74</v>
      </c>
      <c r="N249" s="3">
        <v>83406.89</v>
      </c>
    </row>
    <row r="250" spans="1:14" ht="14.25">
      <c r="A250" t="s">
        <v>84</v>
      </c>
      <c r="B250" s="2">
        <v>45658</v>
      </c>
      <c r="C250" t="s">
        <v>20</v>
      </c>
      <c r="D250" t="s">
        <v>18</v>
      </c>
      <c r="E250" s="3">
        <v>40923.67</v>
      </c>
      <c r="F250">
        <v>3875</v>
      </c>
      <c r="G250" s="4">
        <v>0.15</v>
      </c>
      <c r="H250">
        <v>10</v>
      </c>
      <c r="I250">
        <v>96.1</v>
      </c>
      <c r="J250">
        <v>3.3650000000000002</v>
      </c>
      <c r="K250">
        <v>0</v>
      </c>
      <c r="L250">
        <v>3.8</v>
      </c>
      <c r="M250" s="3">
        <v>606783.67000000004</v>
      </c>
      <c r="N250" s="3">
        <v>74515.87</v>
      </c>
    </row>
    <row r="251" spans="1:14" ht="14.25">
      <c r="A251" t="s">
        <v>84</v>
      </c>
      <c r="B251" s="2">
        <v>45689</v>
      </c>
      <c r="C251" t="s">
        <v>20</v>
      </c>
      <c r="D251" t="s">
        <v>18</v>
      </c>
      <c r="E251" s="3">
        <v>72932.55</v>
      </c>
      <c r="F251">
        <v>5765</v>
      </c>
      <c r="G251" s="4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 s="3">
        <v>642751.42000000004</v>
      </c>
      <c r="N251" s="3">
        <v>131942.15</v>
      </c>
    </row>
    <row r="252" spans="1:14" ht="14.25">
      <c r="A252" t="s">
        <v>84</v>
      </c>
      <c r="B252" s="2">
        <v>45717</v>
      </c>
      <c r="C252" t="s">
        <v>20</v>
      </c>
      <c r="D252" t="s">
        <v>18</v>
      </c>
      <c r="E252" s="3">
        <v>38361.93</v>
      </c>
      <c r="F252">
        <v>6322</v>
      </c>
      <c r="G252" s="4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 s="3">
        <v>647953.78</v>
      </c>
      <c r="N252" s="3">
        <v>118497.43</v>
      </c>
    </row>
    <row r="253" spans="1:14" ht="14.25">
      <c r="A253" t="s">
        <v>84</v>
      </c>
      <c r="B253" s="2">
        <v>45748</v>
      </c>
      <c r="C253" t="s">
        <v>20</v>
      </c>
      <c r="D253" t="s">
        <v>18</v>
      </c>
      <c r="E253" s="3">
        <v>97480.94</v>
      </c>
      <c r="F253">
        <v>6840</v>
      </c>
      <c r="G253" s="4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 s="3">
        <v>729440.45</v>
      </c>
      <c r="N253" s="3">
        <v>87614.29</v>
      </c>
    </row>
    <row r="254" spans="1:14" ht="14.25">
      <c r="A254" t="s">
        <v>85</v>
      </c>
      <c r="B254" s="2">
        <v>45658</v>
      </c>
      <c r="C254" t="s">
        <v>24</v>
      </c>
      <c r="D254" t="s">
        <v>21</v>
      </c>
      <c r="E254" s="3">
        <v>81801.8</v>
      </c>
      <c r="F254">
        <v>6782</v>
      </c>
      <c r="G254" s="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 s="3">
        <v>764949</v>
      </c>
      <c r="N254" s="3">
        <v>148322.43</v>
      </c>
    </row>
    <row r="255" spans="1:14" ht="14.25">
      <c r="A255" t="s">
        <v>85</v>
      </c>
      <c r="B255" s="2">
        <v>45689</v>
      </c>
      <c r="C255" t="s">
        <v>24</v>
      </c>
      <c r="D255" t="s">
        <v>21</v>
      </c>
      <c r="E255" s="3">
        <v>63582.11</v>
      </c>
      <c r="F255">
        <v>6856</v>
      </c>
      <c r="G255" s="4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 s="3">
        <v>799046.94</v>
      </c>
      <c r="N255" s="3">
        <v>144553.64000000001</v>
      </c>
    </row>
    <row r="256" spans="1:14" ht="14.25">
      <c r="A256" t="s">
        <v>85</v>
      </c>
      <c r="B256" s="2">
        <v>45717</v>
      </c>
      <c r="C256" t="s">
        <v>24</v>
      </c>
      <c r="D256" t="s">
        <v>21</v>
      </c>
      <c r="E256" s="3">
        <v>75412.740000000005</v>
      </c>
      <c r="F256">
        <v>5641</v>
      </c>
      <c r="G256" s="4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 s="3">
        <v>720079.54</v>
      </c>
      <c r="N256" s="3">
        <v>119499.47</v>
      </c>
    </row>
    <row r="257" spans="1:14" ht="14.25">
      <c r="A257" t="s">
        <v>85</v>
      </c>
      <c r="B257" s="2">
        <v>45748</v>
      </c>
      <c r="C257" t="s">
        <v>24</v>
      </c>
      <c r="D257" t="s">
        <v>21</v>
      </c>
      <c r="E257" s="3">
        <v>36290.080000000002</v>
      </c>
      <c r="F257">
        <v>5787</v>
      </c>
      <c r="G257" s="4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 s="3">
        <v>612390.14</v>
      </c>
      <c r="N257" s="3">
        <v>108985.74</v>
      </c>
    </row>
    <row r="258" spans="1:14" ht="14.25">
      <c r="A258" t="s">
        <v>86</v>
      </c>
      <c r="B258" s="2">
        <v>45658</v>
      </c>
      <c r="C258" t="s">
        <v>24</v>
      </c>
      <c r="D258" t="s">
        <v>28</v>
      </c>
      <c r="E258" s="3">
        <v>65272.58</v>
      </c>
      <c r="F258">
        <v>8165</v>
      </c>
      <c r="G258" s="4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 s="3">
        <v>840108.12</v>
      </c>
      <c r="N258" s="3">
        <v>126587.01</v>
      </c>
    </row>
    <row r="259" spans="1:14" ht="14.25">
      <c r="A259" t="s">
        <v>86</v>
      </c>
      <c r="B259" s="2">
        <v>45689</v>
      </c>
      <c r="C259" t="s">
        <v>24</v>
      </c>
      <c r="D259" t="s">
        <v>28</v>
      </c>
      <c r="E259" s="3">
        <v>28670.43</v>
      </c>
      <c r="F259">
        <v>7574</v>
      </c>
      <c r="G259" s="4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 s="3">
        <v>697888.09</v>
      </c>
      <c r="N259" s="3">
        <v>116249.87</v>
      </c>
    </row>
    <row r="260" spans="1:14" ht="14.25">
      <c r="A260" t="s">
        <v>86</v>
      </c>
      <c r="B260" s="2">
        <v>45717</v>
      </c>
      <c r="C260" t="s">
        <v>24</v>
      </c>
      <c r="D260" t="s">
        <v>28</v>
      </c>
      <c r="E260" s="3">
        <v>44189.34</v>
      </c>
      <c r="F260">
        <v>8634</v>
      </c>
      <c r="G260" s="4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 s="3">
        <v>746115.59</v>
      </c>
      <c r="N260" s="3">
        <v>94662.96</v>
      </c>
    </row>
    <row r="261" spans="1:14" ht="14.25">
      <c r="A261" t="s">
        <v>86</v>
      </c>
      <c r="B261" s="2">
        <v>45748</v>
      </c>
      <c r="C261" t="s">
        <v>24</v>
      </c>
      <c r="D261" t="s">
        <v>28</v>
      </c>
      <c r="E261" s="3">
        <v>38397.82</v>
      </c>
      <c r="F261">
        <v>7836</v>
      </c>
      <c r="G261" s="4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 s="3">
        <v>776110.32</v>
      </c>
      <c r="N261" s="3">
        <v>139676.21</v>
      </c>
    </row>
    <row r="262" spans="1:14" ht="14.25">
      <c r="A262" t="s">
        <v>87</v>
      </c>
      <c r="B262" s="2">
        <v>45658</v>
      </c>
      <c r="C262" t="s">
        <v>27</v>
      </c>
      <c r="D262" t="s">
        <v>18</v>
      </c>
      <c r="E262" s="3">
        <v>14519.37</v>
      </c>
      <c r="F262">
        <v>3047</v>
      </c>
      <c r="G262" s="4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 s="3">
        <v>528852.62</v>
      </c>
      <c r="N262" s="3">
        <v>68426.210000000006</v>
      </c>
    </row>
    <row r="263" spans="1:14" ht="14.25">
      <c r="A263" t="s">
        <v>87</v>
      </c>
      <c r="B263" s="2">
        <v>45689</v>
      </c>
      <c r="C263" t="s">
        <v>27</v>
      </c>
      <c r="D263" t="s">
        <v>18</v>
      </c>
      <c r="E263" s="3">
        <v>43288.2</v>
      </c>
      <c r="F263">
        <v>4783</v>
      </c>
      <c r="G263" s="4">
        <v>0.16900000000000001</v>
      </c>
      <c r="H263">
        <v>13</v>
      </c>
      <c r="I263">
        <v>87.3</v>
      </c>
      <c r="J263">
        <v>3.3650000000000002</v>
      </c>
      <c r="K263">
        <v>0</v>
      </c>
      <c r="L263">
        <v>4.2</v>
      </c>
      <c r="M263" s="3">
        <v>605751.32999999996</v>
      </c>
      <c r="N263" s="3">
        <v>60685.53</v>
      </c>
    </row>
    <row r="264" spans="1:14" ht="14.25">
      <c r="A264" t="s">
        <v>87</v>
      </c>
      <c r="B264" s="2">
        <v>45717</v>
      </c>
      <c r="C264" t="s">
        <v>27</v>
      </c>
      <c r="D264" t="s">
        <v>18</v>
      </c>
      <c r="E264" s="3">
        <v>51450.55</v>
      </c>
      <c r="F264">
        <v>4902</v>
      </c>
      <c r="G264" s="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 s="3">
        <v>677640.65</v>
      </c>
      <c r="N264" s="3">
        <v>111610.89</v>
      </c>
    </row>
    <row r="265" spans="1:14" ht="14.25">
      <c r="A265" t="s">
        <v>87</v>
      </c>
      <c r="B265" s="2">
        <v>45748</v>
      </c>
      <c r="C265" t="s">
        <v>27</v>
      </c>
      <c r="D265" t="s">
        <v>18</v>
      </c>
      <c r="E265" s="3">
        <v>58688.26</v>
      </c>
      <c r="F265">
        <v>4022</v>
      </c>
      <c r="G265" s="4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 s="3">
        <v>636613.23</v>
      </c>
      <c r="N265" s="3">
        <v>78908.350000000006</v>
      </c>
    </row>
    <row r="266" spans="1:14" ht="14.25">
      <c r="A266" t="s">
        <v>88</v>
      </c>
      <c r="B266" s="2">
        <v>45658</v>
      </c>
      <c r="C266" t="s">
        <v>15</v>
      </c>
      <c r="D266" t="s">
        <v>18</v>
      </c>
      <c r="E266" s="3">
        <v>58981.91</v>
      </c>
      <c r="F266">
        <v>7324</v>
      </c>
      <c r="G266" s="4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 s="3">
        <v>708985.19</v>
      </c>
      <c r="N266" s="3">
        <v>125368.16</v>
      </c>
    </row>
    <row r="267" spans="1:14" ht="14.25">
      <c r="A267" t="s">
        <v>88</v>
      </c>
      <c r="B267" s="2">
        <v>45689</v>
      </c>
      <c r="C267" t="s">
        <v>15</v>
      </c>
      <c r="D267" t="s">
        <v>18</v>
      </c>
      <c r="E267" s="3">
        <v>73454.539999999994</v>
      </c>
      <c r="F267">
        <v>8129</v>
      </c>
      <c r="G267" s="4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 s="3">
        <v>767792.94</v>
      </c>
      <c r="N267" s="3">
        <v>96235.77</v>
      </c>
    </row>
    <row r="268" spans="1:14" ht="14.25">
      <c r="A268" t="s">
        <v>88</v>
      </c>
      <c r="B268" s="2">
        <v>45717</v>
      </c>
      <c r="C268" t="s">
        <v>15</v>
      </c>
      <c r="D268" t="s">
        <v>18</v>
      </c>
      <c r="E268" s="3">
        <v>56602.39</v>
      </c>
      <c r="F268">
        <v>7969</v>
      </c>
      <c r="G268" s="4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 s="3">
        <v>745580.51</v>
      </c>
      <c r="N268" s="3">
        <v>116273.68</v>
      </c>
    </row>
    <row r="269" spans="1:14" ht="14.25">
      <c r="A269" t="s">
        <v>88</v>
      </c>
      <c r="B269" s="2">
        <v>45748</v>
      </c>
      <c r="C269" t="s">
        <v>15</v>
      </c>
      <c r="D269" t="s">
        <v>18</v>
      </c>
      <c r="E269" s="3">
        <v>67722.289999999994</v>
      </c>
      <c r="F269">
        <v>7240</v>
      </c>
      <c r="G269" s="4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 s="3">
        <v>762328.31</v>
      </c>
      <c r="N269" s="3">
        <v>159158.19</v>
      </c>
    </row>
    <row r="270" spans="1:14" ht="14.25">
      <c r="A270" t="s">
        <v>89</v>
      </c>
      <c r="B270" s="2">
        <v>45658</v>
      </c>
      <c r="C270" t="s">
        <v>15</v>
      </c>
      <c r="D270" t="s">
        <v>28</v>
      </c>
      <c r="E270" s="3">
        <v>48752.92</v>
      </c>
      <c r="F270">
        <v>8052</v>
      </c>
      <c r="G270" s="4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 s="3">
        <v>660633.99</v>
      </c>
      <c r="N270" s="3">
        <v>118768.66</v>
      </c>
    </row>
    <row r="271" spans="1:14" ht="14.25">
      <c r="A271" t="s">
        <v>89</v>
      </c>
      <c r="B271" s="2">
        <v>45689</v>
      </c>
      <c r="C271" t="s">
        <v>15</v>
      </c>
      <c r="D271" t="s">
        <v>28</v>
      </c>
      <c r="E271" s="3">
        <v>23914.97</v>
      </c>
      <c r="F271">
        <v>8018</v>
      </c>
      <c r="G271" s="4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 s="3">
        <v>739374.56</v>
      </c>
      <c r="N271" s="3">
        <v>121032.29</v>
      </c>
    </row>
    <row r="272" spans="1:14" ht="14.25">
      <c r="A272" t="s">
        <v>89</v>
      </c>
      <c r="B272" s="2">
        <v>45717</v>
      </c>
      <c r="C272" t="s">
        <v>15</v>
      </c>
      <c r="D272" t="s">
        <v>28</v>
      </c>
      <c r="E272" s="3">
        <v>61995.3</v>
      </c>
      <c r="F272">
        <v>10192</v>
      </c>
      <c r="G272" s="4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 s="3">
        <v>799756.46</v>
      </c>
      <c r="N272" s="3">
        <v>105052.93</v>
      </c>
    </row>
    <row r="273" spans="1:14" ht="14.25">
      <c r="A273" t="s">
        <v>89</v>
      </c>
      <c r="B273" s="2">
        <v>45748</v>
      </c>
      <c r="C273" t="s">
        <v>15</v>
      </c>
      <c r="D273" t="s">
        <v>28</v>
      </c>
      <c r="E273" s="3">
        <v>29344.93</v>
      </c>
      <c r="F273">
        <v>7446</v>
      </c>
      <c r="G273" s="4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 s="3">
        <v>593343</v>
      </c>
      <c r="N273" s="3">
        <v>82832.240000000005</v>
      </c>
    </row>
    <row r="274" spans="1:14" ht="14.25">
      <c r="A274" t="s">
        <v>90</v>
      </c>
      <c r="B274" s="2">
        <v>45658</v>
      </c>
      <c r="C274" t="s">
        <v>27</v>
      </c>
      <c r="D274" t="s">
        <v>18</v>
      </c>
      <c r="E274" s="3">
        <v>50532.17</v>
      </c>
      <c r="F274">
        <v>5689</v>
      </c>
      <c r="G274" s="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 s="3">
        <v>645039.97</v>
      </c>
      <c r="N274" s="3">
        <v>83093.33</v>
      </c>
    </row>
    <row r="275" spans="1:14" ht="14.25">
      <c r="A275" t="s">
        <v>90</v>
      </c>
      <c r="B275" s="2">
        <v>45689</v>
      </c>
      <c r="C275" t="s">
        <v>27</v>
      </c>
      <c r="D275" t="s">
        <v>18</v>
      </c>
      <c r="E275" s="3">
        <v>17562.57</v>
      </c>
      <c r="F275">
        <v>3326</v>
      </c>
      <c r="G275" s="4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 s="3">
        <v>561597.32999999996</v>
      </c>
      <c r="N275" s="3">
        <v>75072.75</v>
      </c>
    </row>
    <row r="276" spans="1:14" ht="14.25">
      <c r="A276" t="s">
        <v>90</v>
      </c>
      <c r="B276" s="2">
        <v>45717</v>
      </c>
      <c r="C276" t="s">
        <v>27</v>
      </c>
      <c r="D276" t="s">
        <v>18</v>
      </c>
      <c r="E276" s="3">
        <v>47648.71</v>
      </c>
      <c r="F276">
        <v>5767</v>
      </c>
      <c r="G276" s="4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 s="3">
        <v>635837.74</v>
      </c>
      <c r="N276" s="3">
        <v>114740.64</v>
      </c>
    </row>
    <row r="277" spans="1:14" ht="14.25">
      <c r="A277" t="s">
        <v>90</v>
      </c>
      <c r="B277" s="2">
        <v>45748</v>
      </c>
      <c r="C277" t="s">
        <v>27</v>
      </c>
      <c r="D277" t="s">
        <v>18</v>
      </c>
      <c r="E277" s="3">
        <v>38297.58</v>
      </c>
      <c r="F277">
        <v>5893</v>
      </c>
      <c r="G277" s="4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 s="3">
        <v>686737.87</v>
      </c>
      <c r="N277" s="3">
        <v>83839.67</v>
      </c>
    </row>
    <row r="278" spans="1:14" ht="14.25">
      <c r="A278" t="s">
        <v>91</v>
      </c>
      <c r="B278" s="2">
        <v>45658</v>
      </c>
      <c r="C278" t="s">
        <v>24</v>
      </c>
      <c r="D278" t="s">
        <v>16</v>
      </c>
      <c r="E278" s="3">
        <v>61784.11</v>
      </c>
      <c r="F278">
        <v>8564</v>
      </c>
      <c r="G278" s="4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 s="3">
        <v>673076.34</v>
      </c>
      <c r="N278" s="3">
        <v>93899.76</v>
      </c>
    </row>
    <row r="279" spans="1:14" ht="14.25">
      <c r="A279" t="s">
        <v>91</v>
      </c>
      <c r="B279" s="2">
        <v>45689</v>
      </c>
      <c r="C279" t="s">
        <v>24</v>
      </c>
      <c r="D279" t="s">
        <v>16</v>
      </c>
      <c r="E279" s="3">
        <v>36832.33</v>
      </c>
      <c r="F279">
        <v>8001</v>
      </c>
      <c r="G279" s="4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 s="3">
        <v>738548.42</v>
      </c>
      <c r="N279" s="3">
        <v>134282.76999999999</v>
      </c>
    </row>
    <row r="280" spans="1:14" ht="14.25">
      <c r="A280" t="s">
        <v>91</v>
      </c>
      <c r="B280" s="2">
        <v>45717</v>
      </c>
      <c r="C280" t="s">
        <v>24</v>
      </c>
      <c r="D280" t="s">
        <v>16</v>
      </c>
      <c r="E280" s="3">
        <v>48609.41</v>
      </c>
      <c r="F280">
        <v>9324</v>
      </c>
      <c r="G280" s="4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 s="3">
        <v>756619.77</v>
      </c>
      <c r="N280" s="3">
        <v>112057.69</v>
      </c>
    </row>
    <row r="281" spans="1:14" ht="14.25">
      <c r="A281" t="s">
        <v>91</v>
      </c>
      <c r="B281" s="2">
        <v>45748</v>
      </c>
      <c r="C281" t="s">
        <v>24</v>
      </c>
      <c r="D281" t="s">
        <v>16</v>
      </c>
      <c r="E281" s="3">
        <v>70284.06</v>
      </c>
      <c r="F281">
        <v>9109</v>
      </c>
      <c r="G281" s="4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 s="3">
        <v>761122.42</v>
      </c>
      <c r="N281" s="3">
        <v>149802.04</v>
      </c>
    </row>
    <row r="282" spans="1:14" ht="14.25">
      <c r="A282" t="s">
        <v>92</v>
      </c>
      <c r="B282" s="2">
        <v>45658</v>
      </c>
      <c r="C282" t="s">
        <v>24</v>
      </c>
      <c r="D282" t="s">
        <v>18</v>
      </c>
      <c r="E282" s="3">
        <v>45940.39</v>
      </c>
      <c r="F282">
        <v>4022</v>
      </c>
      <c r="G282" s="4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 s="3">
        <v>524899.56999999995</v>
      </c>
      <c r="N282" s="3">
        <v>63619.98</v>
      </c>
    </row>
    <row r="283" spans="1:14" ht="14.25">
      <c r="A283" t="s">
        <v>92</v>
      </c>
      <c r="B283" s="2">
        <v>45689</v>
      </c>
      <c r="C283" t="s">
        <v>24</v>
      </c>
      <c r="D283" t="s">
        <v>18</v>
      </c>
      <c r="E283" s="3">
        <v>34771.26</v>
      </c>
      <c r="F283">
        <v>4355</v>
      </c>
      <c r="G283" s="4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 s="3">
        <v>555557.77</v>
      </c>
      <c r="N283" s="3">
        <v>86475.51</v>
      </c>
    </row>
    <row r="284" spans="1:14" ht="14.25">
      <c r="A284" t="s">
        <v>92</v>
      </c>
      <c r="B284" s="2">
        <v>45717</v>
      </c>
      <c r="C284" t="s">
        <v>24</v>
      </c>
      <c r="D284" t="s">
        <v>18</v>
      </c>
      <c r="E284" s="3">
        <v>66104.19</v>
      </c>
      <c r="F284">
        <v>5745</v>
      </c>
      <c r="G284" s="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 s="3">
        <v>714083.68</v>
      </c>
      <c r="N284" s="3">
        <v>127231.74</v>
      </c>
    </row>
    <row r="285" spans="1:14" ht="14.25">
      <c r="A285" t="s">
        <v>92</v>
      </c>
      <c r="B285" s="2">
        <v>45748</v>
      </c>
      <c r="C285" t="s">
        <v>24</v>
      </c>
      <c r="D285" t="s">
        <v>18</v>
      </c>
      <c r="E285" s="3">
        <v>18599.21</v>
      </c>
      <c r="F285">
        <v>3027</v>
      </c>
      <c r="G285" s="4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 s="3">
        <v>497439.82</v>
      </c>
      <c r="N285" s="3">
        <v>93372.75</v>
      </c>
    </row>
    <row r="286" spans="1:14" ht="14.25">
      <c r="A286" t="s">
        <v>93</v>
      </c>
      <c r="B286" s="2">
        <v>45658</v>
      </c>
      <c r="C286" t="s">
        <v>27</v>
      </c>
      <c r="D286" t="s">
        <v>16</v>
      </c>
      <c r="E286" s="3">
        <v>60183.06</v>
      </c>
      <c r="F286">
        <v>5562</v>
      </c>
      <c r="G286" s="4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 s="3">
        <v>636775.66</v>
      </c>
      <c r="N286" s="3">
        <v>122636.86</v>
      </c>
    </row>
    <row r="287" spans="1:14" ht="14.25">
      <c r="A287" t="s">
        <v>93</v>
      </c>
      <c r="B287" s="2">
        <v>45689</v>
      </c>
      <c r="C287" t="s">
        <v>27</v>
      </c>
      <c r="D287" t="s">
        <v>16</v>
      </c>
      <c r="E287" s="3">
        <v>74539.14</v>
      </c>
      <c r="F287">
        <v>4487</v>
      </c>
      <c r="G287" s="4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 s="3">
        <v>633009.53</v>
      </c>
      <c r="N287" s="3">
        <v>123782.67</v>
      </c>
    </row>
    <row r="288" spans="1:14" ht="14.25">
      <c r="A288" t="s">
        <v>93</v>
      </c>
      <c r="B288" s="2">
        <v>45717</v>
      </c>
      <c r="C288" t="s">
        <v>27</v>
      </c>
      <c r="D288" t="s">
        <v>16</v>
      </c>
      <c r="E288" s="3">
        <v>55371.97</v>
      </c>
      <c r="F288">
        <v>4162</v>
      </c>
      <c r="G288" s="4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 s="3">
        <v>609949</v>
      </c>
      <c r="N288" s="3">
        <v>126789.25</v>
      </c>
    </row>
    <row r="289" spans="1:14" ht="14.25">
      <c r="A289" t="s">
        <v>93</v>
      </c>
      <c r="B289" s="2">
        <v>45748</v>
      </c>
      <c r="C289" t="s">
        <v>27</v>
      </c>
      <c r="D289" t="s">
        <v>16</v>
      </c>
      <c r="E289" s="3">
        <v>40928.69</v>
      </c>
      <c r="F289">
        <v>4094</v>
      </c>
      <c r="G289" s="4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 s="3">
        <v>548103.69999999995</v>
      </c>
      <c r="N289" s="3">
        <v>99905.52</v>
      </c>
    </row>
    <row r="290" spans="1:14" ht="14.25">
      <c r="A290" t="s">
        <v>94</v>
      </c>
      <c r="B290" s="2">
        <v>45658</v>
      </c>
      <c r="C290" t="s">
        <v>15</v>
      </c>
      <c r="D290" t="s">
        <v>16</v>
      </c>
      <c r="E290" s="3">
        <v>70012.41</v>
      </c>
      <c r="F290">
        <v>8484</v>
      </c>
      <c r="G290" s="4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 s="3">
        <v>729424.42</v>
      </c>
      <c r="N290" s="3">
        <v>75592.28</v>
      </c>
    </row>
    <row r="291" spans="1:14" ht="14.25">
      <c r="A291" t="s">
        <v>94</v>
      </c>
      <c r="B291" s="2">
        <v>45689</v>
      </c>
      <c r="C291" t="s">
        <v>15</v>
      </c>
      <c r="D291" t="s">
        <v>16</v>
      </c>
      <c r="E291" s="3">
        <v>68909.259999999995</v>
      </c>
      <c r="F291">
        <v>7794</v>
      </c>
      <c r="G291" s="4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 s="3">
        <v>696261.49</v>
      </c>
      <c r="N291" s="3">
        <v>72455.350000000006</v>
      </c>
    </row>
    <row r="292" spans="1:14" ht="14.25">
      <c r="A292" t="s">
        <v>94</v>
      </c>
      <c r="B292" s="2">
        <v>45717</v>
      </c>
      <c r="C292" t="s">
        <v>15</v>
      </c>
      <c r="D292" t="s">
        <v>16</v>
      </c>
      <c r="E292" s="3">
        <v>56737.3</v>
      </c>
      <c r="F292">
        <v>8300</v>
      </c>
      <c r="G292" s="4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 s="3">
        <v>813316.71</v>
      </c>
      <c r="N292" s="3">
        <v>110077.42</v>
      </c>
    </row>
    <row r="293" spans="1:14" ht="14.25">
      <c r="A293" t="s">
        <v>94</v>
      </c>
      <c r="B293" s="2">
        <v>45748</v>
      </c>
      <c r="C293" t="s">
        <v>15</v>
      </c>
      <c r="D293" t="s">
        <v>16</v>
      </c>
      <c r="E293" s="3">
        <v>54080.91</v>
      </c>
      <c r="F293">
        <v>7083</v>
      </c>
      <c r="G293" s="4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 s="3">
        <v>702068.92</v>
      </c>
      <c r="N293" s="3">
        <v>111266.63</v>
      </c>
    </row>
    <row r="294" spans="1:14" ht="14.25">
      <c r="A294" t="s">
        <v>95</v>
      </c>
      <c r="B294" s="2">
        <v>45658</v>
      </c>
      <c r="C294" t="s">
        <v>27</v>
      </c>
      <c r="D294" t="s">
        <v>18</v>
      </c>
      <c r="E294" s="3">
        <v>51996.32</v>
      </c>
      <c r="F294">
        <v>3834</v>
      </c>
      <c r="G294" s="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 s="3">
        <v>546223.69999999995</v>
      </c>
      <c r="N294" s="3">
        <v>100769.17</v>
      </c>
    </row>
    <row r="295" spans="1:14" ht="14.25">
      <c r="A295" t="s">
        <v>95</v>
      </c>
      <c r="B295" s="2">
        <v>45689</v>
      </c>
      <c r="C295" t="s">
        <v>27</v>
      </c>
      <c r="D295" t="s">
        <v>18</v>
      </c>
      <c r="E295" s="3">
        <v>40102.879999999997</v>
      </c>
      <c r="F295">
        <v>2358</v>
      </c>
      <c r="G295" s="4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 s="3">
        <v>533121.26</v>
      </c>
      <c r="N295" s="3">
        <v>55063.39</v>
      </c>
    </row>
    <row r="296" spans="1:14" ht="14.25">
      <c r="A296" t="s">
        <v>95</v>
      </c>
      <c r="B296" s="2">
        <v>45717</v>
      </c>
      <c r="C296" t="s">
        <v>27</v>
      </c>
      <c r="D296" t="s">
        <v>18</v>
      </c>
      <c r="E296" s="3">
        <v>59825.51</v>
      </c>
      <c r="F296">
        <v>1231</v>
      </c>
      <c r="G296" s="4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 s="3">
        <v>498970.32</v>
      </c>
      <c r="N296" s="3">
        <v>69656.7</v>
      </c>
    </row>
    <row r="297" spans="1:14" ht="14.25">
      <c r="A297" t="s">
        <v>95</v>
      </c>
      <c r="B297" s="2">
        <v>45748</v>
      </c>
      <c r="C297" t="s">
        <v>27</v>
      </c>
      <c r="D297" t="s">
        <v>18</v>
      </c>
      <c r="E297" s="3">
        <v>27398.28</v>
      </c>
      <c r="F297">
        <v>1723</v>
      </c>
      <c r="G297" s="4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 s="3">
        <v>487738.26</v>
      </c>
      <c r="N297" s="3">
        <v>96435.6</v>
      </c>
    </row>
    <row r="298" spans="1:14" ht="14.25">
      <c r="A298" t="s">
        <v>96</v>
      </c>
      <c r="B298" s="2">
        <v>45658</v>
      </c>
      <c r="C298" t="s">
        <v>27</v>
      </c>
      <c r="D298" t="s">
        <v>18</v>
      </c>
      <c r="E298" s="3">
        <v>55599.56</v>
      </c>
      <c r="F298">
        <v>5896</v>
      </c>
      <c r="G298" s="4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 s="3">
        <v>668459.37</v>
      </c>
      <c r="N298" s="3">
        <v>126435.42</v>
      </c>
    </row>
    <row r="299" spans="1:14" ht="14.25">
      <c r="A299" t="s">
        <v>96</v>
      </c>
      <c r="B299" s="2">
        <v>45689</v>
      </c>
      <c r="C299" t="s">
        <v>27</v>
      </c>
      <c r="D299" t="s">
        <v>18</v>
      </c>
      <c r="E299" s="3">
        <v>55477.61</v>
      </c>
      <c r="F299">
        <v>5903</v>
      </c>
      <c r="G299" s="4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 s="3">
        <v>763162.45</v>
      </c>
      <c r="N299" s="3">
        <v>162524.04999999999</v>
      </c>
    </row>
    <row r="300" spans="1:14" ht="14.25">
      <c r="A300" t="s">
        <v>96</v>
      </c>
      <c r="B300" s="2">
        <v>45717</v>
      </c>
      <c r="C300" t="s">
        <v>27</v>
      </c>
      <c r="D300" t="s">
        <v>18</v>
      </c>
      <c r="E300" s="3">
        <v>46174.7</v>
      </c>
      <c r="F300">
        <v>4898</v>
      </c>
      <c r="G300" s="4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 s="3">
        <v>599017.32999999996</v>
      </c>
      <c r="N300" s="3">
        <v>134009.92000000001</v>
      </c>
    </row>
    <row r="301" spans="1:14" ht="14.25">
      <c r="A301" t="s">
        <v>96</v>
      </c>
      <c r="B301" s="2">
        <v>45748</v>
      </c>
      <c r="C301" t="s">
        <v>27</v>
      </c>
      <c r="D301" t="s">
        <v>18</v>
      </c>
      <c r="E301" s="3">
        <v>24362.98</v>
      </c>
      <c r="F301">
        <v>1462</v>
      </c>
      <c r="G301" s="4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 s="3">
        <v>401582.58</v>
      </c>
      <c r="N301" s="3">
        <v>68454.929999999993</v>
      </c>
    </row>
    <row r="302" spans="1:14" ht="14.25">
      <c r="A302" t="s">
        <v>97</v>
      </c>
      <c r="B302" s="2">
        <v>45658</v>
      </c>
      <c r="C302" t="s">
        <v>20</v>
      </c>
      <c r="D302" t="s">
        <v>28</v>
      </c>
      <c r="E302" s="3">
        <v>40647.67</v>
      </c>
      <c r="F302">
        <v>8252</v>
      </c>
      <c r="G302" s="4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 s="3">
        <v>703812.99</v>
      </c>
      <c r="N302" s="3">
        <v>133577.98000000001</v>
      </c>
    </row>
    <row r="303" spans="1:14" ht="14.25">
      <c r="A303" t="s">
        <v>97</v>
      </c>
      <c r="B303" s="2">
        <v>45689</v>
      </c>
      <c r="C303" t="s">
        <v>20</v>
      </c>
      <c r="D303" t="s">
        <v>28</v>
      </c>
      <c r="E303" s="3">
        <v>63986.98</v>
      </c>
      <c r="F303">
        <v>7989</v>
      </c>
      <c r="G303" s="4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 s="3">
        <v>724346.73</v>
      </c>
      <c r="N303" s="3">
        <v>155013.91</v>
      </c>
    </row>
    <row r="304" spans="1:14" ht="14.25">
      <c r="A304" t="s">
        <v>97</v>
      </c>
      <c r="B304" s="2">
        <v>45717</v>
      </c>
      <c r="C304" t="s">
        <v>20</v>
      </c>
      <c r="D304" t="s">
        <v>28</v>
      </c>
      <c r="E304" s="3">
        <v>52843.75</v>
      </c>
      <c r="F304">
        <v>8268</v>
      </c>
      <c r="G304" s="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 s="3">
        <v>730890.01</v>
      </c>
      <c r="N304" s="3">
        <v>105502.56</v>
      </c>
    </row>
    <row r="305" spans="1:14" ht="14.25">
      <c r="A305" t="s">
        <v>97</v>
      </c>
      <c r="B305" s="2">
        <v>45748</v>
      </c>
      <c r="C305" t="s">
        <v>20</v>
      </c>
      <c r="D305" t="s">
        <v>28</v>
      </c>
      <c r="E305" s="3">
        <v>31997.25</v>
      </c>
      <c r="F305">
        <v>8183</v>
      </c>
      <c r="G305" s="4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 s="3">
        <v>780580.95</v>
      </c>
      <c r="N305" s="3">
        <v>138144.46</v>
      </c>
    </row>
    <row r="306" spans="1:14" ht="14.25">
      <c r="A306" t="s">
        <v>98</v>
      </c>
      <c r="B306" s="2">
        <v>45658</v>
      </c>
      <c r="C306" t="s">
        <v>24</v>
      </c>
      <c r="D306" t="s">
        <v>16</v>
      </c>
      <c r="E306" s="3">
        <v>54948.02</v>
      </c>
      <c r="F306">
        <v>6534</v>
      </c>
      <c r="G306" s="4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 s="3">
        <v>727957.48</v>
      </c>
      <c r="N306" s="3">
        <v>74805.23</v>
      </c>
    </row>
    <row r="307" spans="1:14" ht="14.25">
      <c r="A307" t="s">
        <v>98</v>
      </c>
      <c r="B307" s="2">
        <v>45689</v>
      </c>
      <c r="C307" t="s">
        <v>24</v>
      </c>
      <c r="D307" t="s">
        <v>16</v>
      </c>
      <c r="E307" s="3">
        <v>46146.239999999998</v>
      </c>
      <c r="F307">
        <v>5804</v>
      </c>
      <c r="G307" s="4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 s="3">
        <v>538376</v>
      </c>
      <c r="N307" s="3">
        <v>87605.62</v>
      </c>
    </row>
    <row r="308" spans="1:14" ht="14.25">
      <c r="A308" t="s">
        <v>98</v>
      </c>
      <c r="B308" s="2">
        <v>45717</v>
      </c>
      <c r="C308" t="s">
        <v>24</v>
      </c>
      <c r="D308" t="s">
        <v>16</v>
      </c>
      <c r="E308" s="3">
        <v>22387.26</v>
      </c>
      <c r="F308">
        <v>6301</v>
      </c>
      <c r="G308" s="4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 s="3">
        <v>665342.49</v>
      </c>
      <c r="N308" s="3">
        <v>93441.81</v>
      </c>
    </row>
    <row r="309" spans="1:14" ht="14.25">
      <c r="A309" t="s">
        <v>98</v>
      </c>
      <c r="B309" s="2">
        <v>45748</v>
      </c>
      <c r="C309" t="s">
        <v>24</v>
      </c>
      <c r="D309" t="s">
        <v>16</v>
      </c>
      <c r="E309" s="3">
        <v>60684.05</v>
      </c>
      <c r="F309">
        <v>6399</v>
      </c>
      <c r="G309" s="4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 s="3">
        <v>651164.18000000005</v>
      </c>
      <c r="N309" s="3">
        <v>109466.5</v>
      </c>
    </row>
    <row r="310" spans="1:14" ht="14.25">
      <c r="A310" t="s">
        <v>99</v>
      </c>
      <c r="B310" s="2">
        <v>45658</v>
      </c>
      <c r="C310" t="s">
        <v>24</v>
      </c>
      <c r="D310" t="s">
        <v>18</v>
      </c>
      <c r="E310" s="3">
        <v>48465.599999999999</v>
      </c>
      <c r="F310">
        <v>5759</v>
      </c>
      <c r="G310" s="4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 s="3">
        <v>628538.30000000005</v>
      </c>
      <c r="N310" s="3">
        <v>112509.15</v>
      </c>
    </row>
    <row r="311" spans="1:14" ht="14.25">
      <c r="A311" t="s">
        <v>99</v>
      </c>
      <c r="B311" s="2">
        <v>45689</v>
      </c>
      <c r="C311" t="s">
        <v>24</v>
      </c>
      <c r="D311" t="s">
        <v>18</v>
      </c>
      <c r="E311" s="3">
        <v>23702.38</v>
      </c>
      <c r="F311">
        <v>5285</v>
      </c>
      <c r="G311" s="4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 s="3">
        <v>536524.84</v>
      </c>
      <c r="N311" s="3">
        <v>92752.94</v>
      </c>
    </row>
    <row r="312" spans="1:14" ht="14.25">
      <c r="A312" t="s">
        <v>99</v>
      </c>
      <c r="B312" s="2">
        <v>45717</v>
      </c>
      <c r="C312" t="s">
        <v>24</v>
      </c>
      <c r="D312" t="s">
        <v>18</v>
      </c>
      <c r="E312" s="3">
        <v>54322.94</v>
      </c>
      <c r="F312">
        <v>5434</v>
      </c>
      <c r="G312" s="4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 s="3">
        <v>621677.30000000005</v>
      </c>
      <c r="N312" s="3">
        <v>105192.52</v>
      </c>
    </row>
    <row r="313" spans="1:14" ht="14.25">
      <c r="A313" t="s">
        <v>99</v>
      </c>
      <c r="B313" s="2">
        <v>45748</v>
      </c>
      <c r="C313" t="s">
        <v>24</v>
      </c>
      <c r="D313" t="s">
        <v>18</v>
      </c>
      <c r="E313" s="3">
        <v>86026.58</v>
      </c>
      <c r="F313">
        <v>7479</v>
      </c>
      <c r="G313" s="4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 s="3">
        <v>771129.07</v>
      </c>
      <c r="N313" s="3">
        <v>116851.13</v>
      </c>
    </row>
    <row r="314" spans="1:14" ht="14.25">
      <c r="A314" t="s">
        <v>100</v>
      </c>
      <c r="B314" s="2">
        <v>45658</v>
      </c>
      <c r="C314" t="s">
        <v>20</v>
      </c>
      <c r="D314" t="s">
        <v>16</v>
      </c>
      <c r="E314" s="3">
        <v>78967.520000000004</v>
      </c>
      <c r="F314">
        <v>6164</v>
      </c>
      <c r="G314" s="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 s="3">
        <v>702052.47</v>
      </c>
      <c r="N314" s="3">
        <v>121732.51</v>
      </c>
    </row>
    <row r="315" spans="1:14" ht="14.25">
      <c r="A315" t="s">
        <v>100</v>
      </c>
      <c r="B315" s="2">
        <v>45689</v>
      </c>
      <c r="C315" t="s">
        <v>20</v>
      </c>
      <c r="D315" t="s">
        <v>16</v>
      </c>
      <c r="E315" s="3">
        <v>46767.99</v>
      </c>
      <c r="F315">
        <v>7973</v>
      </c>
      <c r="G315" s="4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 s="3">
        <v>688368.46</v>
      </c>
      <c r="N315" s="3">
        <v>93588.42</v>
      </c>
    </row>
    <row r="316" spans="1:14" ht="14.25">
      <c r="A316" t="s">
        <v>100</v>
      </c>
      <c r="B316" s="2">
        <v>45717</v>
      </c>
      <c r="C316" t="s">
        <v>20</v>
      </c>
      <c r="D316" t="s">
        <v>16</v>
      </c>
      <c r="E316" s="3">
        <v>62507.16</v>
      </c>
      <c r="F316">
        <v>6000</v>
      </c>
      <c r="G316" s="4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 s="3">
        <v>712375.77</v>
      </c>
      <c r="N316" s="3">
        <v>104171.53</v>
      </c>
    </row>
    <row r="317" spans="1:14" ht="14.25">
      <c r="A317" t="s">
        <v>100</v>
      </c>
      <c r="B317" s="2">
        <v>45748</v>
      </c>
      <c r="C317" t="s">
        <v>20</v>
      </c>
      <c r="D317" t="s">
        <v>16</v>
      </c>
      <c r="E317" s="3">
        <v>66456.28</v>
      </c>
      <c r="F317">
        <v>9967</v>
      </c>
      <c r="G317" s="4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 s="3">
        <v>844710.67</v>
      </c>
      <c r="N317" s="3">
        <v>137140.18</v>
      </c>
    </row>
    <row r="318" spans="1:14" ht="14.25">
      <c r="A318" t="s">
        <v>101</v>
      </c>
      <c r="B318" s="2">
        <v>45658</v>
      </c>
      <c r="C318" t="s">
        <v>15</v>
      </c>
      <c r="D318" t="s">
        <v>16</v>
      </c>
      <c r="E318" s="3">
        <v>76614.320000000007</v>
      </c>
      <c r="F318">
        <v>5639</v>
      </c>
      <c r="G318" s="4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 s="3">
        <v>620264.19999999995</v>
      </c>
      <c r="N318" s="3">
        <v>91365.64</v>
      </c>
    </row>
    <row r="319" spans="1:14" ht="14.25">
      <c r="A319" t="s">
        <v>101</v>
      </c>
      <c r="B319" s="2">
        <v>45689</v>
      </c>
      <c r="C319" t="s">
        <v>15</v>
      </c>
      <c r="D319" t="s">
        <v>16</v>
      </c>
      <c r="E319" s="3">
        <v>24088.06</v>
      </c>
      <c r="F319">
        <v>3466</v>
      </c>
      <c r="G319" s="4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 s="3">
        <v>536845.42000000004</v>
      </c>
      <c r="N319" s="3">
        <v>107473.75</v>
      </c>
    </row>
    <row r="320" spans="1:14" ht="14.25">
      <c r="A320" t="s">
        <v>101</v>
      </c>
      <c r="B320" s="2">
        <v>45717</v>
      </c>
      <c r="C320" t="s">
        <v>15</v>
      </c>
      <c r="D320" t="s">
        <v>16</v>
      </c>
      <c r="E320" s="3">
        <v>81902.58</v>
      </c>
      <c r="F320">
        <v>7775</v>
      </c>
      <c r="G320" s="4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 s="3">
        <v>726776.22</v>
      </c>
      <c r="N320" s="3">
        <v>90804.49</v>
      </c>
    </row>
    <row r="321" spans="1:14" ht="14.25">
      <c r="A321" t="s">
        <v>101</v>
      </c>
      <c r="B321" s="2">
        <v>45748</v>
      </c>
      <c r="C321" t="s">
        <v>15</v>
      </c>
      <c r="D321" t="s">
        <v>16</v>
      </c>
      <c r="E321" s="3">
        <v>40553.11</v>
      </c>
      <c r="F321">
        <v>5317</v>
      </c>
      <c r="G321" s="4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 s="3">
        <v>559660.84</v>
      </c>
      <c r="N321" s="3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1"/>
  <sheetViews>
    <sheetView zoomScaleNormal="100" zoomScaleSheetLayoutView="100" workbookViewId="0"/>
  </sheetViews>
  <sheetFormatPr defaultRowHeight="15"/>
  <cols>
    <col min="1" max="1" width="7.5" customWidth="1"/>
    <col min="2" max="2" width="9.125" customWidth="1"/>
    <col min="3" max="3" width="5.375" customWidth="1"/>
    <col min="4" max="4" width="8.875" customWidth="1"/>
    <col min="5" max="5" width="13.75" customWidth="1"/>
    <col min="6" max="6" width="6" customWidth="1"/>
    <col min="7" max="7" width="13.875" customWidth="1"/>
    <col min="8" max="8" width="9.125" customWidth="1"/>
    <col min="9" max="9" width="20.25" customWidth="1"/>
    <col min="10" max="10" width="19.5" customWidth="1"/>
    <col min="11" max="11" width="9.875" customWidth="1"/>
    <col min="12" max="12" width="13" customWidth="1"/>
    <col min="13" max="13" width="11.625" customWidth="1"/>
    <col min="14" max="14" width="12.125" customWidth="1"/>
    <col min="15" max="15" width="77.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102</v>
      </c>
    </row>
    <row r="2" spans="1:15">
      <c r="A2" t="s">
        <v>14</v>
      </c>
      <c r="B2" s="2">
        <v>45658</v>
      </c>
      <c r="C2" t="s">
        <v>15</v>
      </c>
      <c r="D2" t="s">
        <v>16</v>
      </c>
      <c r="E2" s="3">
        <v>70389.11</v>
      </c>
      <c r="F2">
        <v>8302</v>
      </c>
      <c r="G2" s="4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 s="3">
        <v>658832.62</v>
      </c>
      <c r="N2" s="3">
        <v>84349.93</v>
      </c>
      <c r="O2" s="8" t="s">
        <v>103</v>
      </c>
    </row>
    <row r="3" spans="1:15">
      <c r="A3" t="s">
        <v>14</v>
      </c>
      <c r="B3" s="2">
        <v>45689</v>
      </c>
      <c r="C3" t="s">
        <v>15</v>
      </c>
      <c r="D3" t="s">
        <v>16</v>
      </c>
      <c r="E3" s="3">
        <v>43827.89</v>
      </c>
      <c r="F3">
        <v>8487</v>
      </c>
      <c r="G3" s="4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 s="3">
        <v>634436</v>
      </c>
      <c r="N3" s="3">
        <v>106130.54</v>
      </c>
      <c r="O3" s="8" t="s">
        <v>103</v>
      </c>
    </row>
    <row r="4" spans="1:15">
      <c r="A4" t="s">
        <v>14</v>
      </c>
      <c r="B4" s="2">
        <v>45717</v>
      </c>
      <c r="C4" t="s">
        <v>15</v>
      </c>
      <c r="D4" t="s">
        <v>16</v>
      </c>
      <c r="E4" s="3">
        <v>59921.75</v>
      </c>
      <c r="F4">
        <v>9113</v>
      </c>
      <c r="G4" s="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 s="3">
        <v>678722.06</v>
      </c>
      <c r="N4" s="3">
        <v>101883.86</v>
      </c>
      <c r="O4" s="8" t="s">
        <v>103</v>
      </c>
    </row>
    <row r="5" spans="1:15">
      <c r="A5" t="s">
        <v>14</v>
      </c>
      <c r="B5" s="2">
        <v>45748</v>
      </c>
      <c r="C5" t="s">
        <v>15</v>
      </c>
      <c r="D5" t="s">
        <v>16</v>
      </c>
      <c r="E5" s="3">
        <v>56856.63</v>
      </c>
      <c r="F5">
        <v>9431</v>
      </c>
      <c r="G5" s="4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 s="3">
        <v>658920.30000000005</v>
      </c>
      <c r="N5" s="3">
        <v>97910.37</v>
      </c>
      <c r="O5" s="8" t="s">
        <v>103</v>
      </c>
    </row>
    <row r="6" spans="1:15">
      <c r="A6" t="s">
        <v>17</v>
      </c>
      <c r="B6" s="2">
        <v>45658</v>
      </c>
      <c r="C6" t="s">
        <v>15</v>
      </c>
      <c r="D6" t="s">
        <v>18</v>
      </c>
      <c r="E6" s="3">
        <v>48412.639999999999</v>
      </c>
      <c r="F6">
        <v>9545</v>
      </c>
      <c r="G6" s="4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 s="3">
        <v>741341.44</v>
      </c>
      <c r="N6" s="3">
        <v>119208.17</v>
      </c>
      <c r="O6" s="8" t="s">
        <v>103</v>
      </c>
    </row>
    <row r="7" spans="1:15">
      <c r="A7" t="s">
        <v>17</v>
      </c>
      <c r="B7" s="2">
        <v>45689</v>
      </c>
      <c r="C7" t="s">
        <v>15</v>
      </c>
      <c r="D7" t="s">
        <v>18</v>
      </c>
      <c r="E7" s="3">
        <v>64811.21</v>
      </c>
      <c r="F7">
        <v>9792</v>
      </c>
      <c r="G7" s="4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 s="3">
        <v>761835.34</v>
      </c>
      <c r="N7" s="3">
        <v>149602.23000000001</v>
      </c>
      <c r="O7" s="8" t="s">
        <v>103</v>
      </c>
    </row>
    <row r="8" spans="1:15">
      <c r="A8" t="s">
        <v>17</v>
      </c>
      <c r="B8" s="2">
        <v>45717</v>
      </c>
      <c r="C8" t="s">
        <v>15</v>
      </c>
      <c r="D8" t="s">
        <v>18</v>
      </c>
      <c r="E8" s="3">
        <v>46213.45</v>
      </c>
      <c r="F8">
        <v>10616</v>
      </c>
      <c r="G8" s="4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 s="3">
        <v>806615.54</v>
      </c>
      <c r="N8" s="3">
        <v>131364.62</v>
      </c>
      <c r="O8" s="8" t="s">
        <v>103</v>
      </c>
    </row>
    <row r="9" spans="1:15">
      <c r="A9" t="s">
        <v>17</v>
      </c>
      <c r="B9" s="2">
        <v>45748</v>
      </c>
      <c r="C9" t="s">
        <v>15</v>
      </c>
      <c r="D9" t="s">
        <v>18</v>
      </c>
      <c r="E9" s="3">
        <v>68148.52</v>
      </c>
      <c r="F9">
        <v>8567</v>
      </c>
      <c r="G9" s="4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 s="3">
        <v>850164.26</v>
      </c>
      <c r="N9" s="3">
        <v>149262.75</v>
      </c>
      <c r="O9" s="8" t="s">
        <v>103</v>
      </c>
    </row>
    <row r="10" spans="1:15">
      <c r="A10" t="s">
        <v>19</v>
      </c>
      <c r="B10" s="2">
        <v>45658</v>
      </c>
      <c r="C10" t="s">
        <v>20</v>
      </c>
      <c r="D10" t="s">
        <v>21</v>
      </c>
      <c r="E10" s="3">
        <v>71838.86</v>
      </c>
      <c r="F10">
        <v>10979</v>
      </c>
      <c r="G10" s="4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 s="3">
        <v>930581.7</v>
      </c>
      <c r="N10" s="3">
        <v>136207.98000000001</v>
      </c>
      <c r="O10" s="8" t="s">
        <v>103</v>
      </c>
    </row>
    <row r="11" spans="1:15">
      <c r="A11" t="s">
        <v>19</v>
      </c>
      <c r="B11" s="2">
        <v>45689</v>
      </c>
      <c r="C11" t="s">
        <v>20</v>
      </c>
      <c r="D11" t="s">
        <v>21</v>
      </c>
      <c r="E11" s="3">
        <v>68133.440000000002</v>
      </c>
      <c r="F11">
        <v>9459</v>
      </c>
      <c r="G11" s="4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 s="3">
        <v>779010.94</v>
      </c>
      <c r="N11" s="3">
        <v>106328.09</v>
      </c>
      <c r="O11" s="8" t="s">
        <v>103</v>
      </c>
    </row>
    <row r="12" spans="1:15">
      <c r="A12" t="s">
        <v>19</v>
      </c>
      <c r="B12" s="2">
        <v>45717</v>
      </c>
      <c r="C12" t="s">
        <v>20</v>
      </c>
      <c r="D12" t="s">
        <v>21</v>
      </c>
      <c r="E12" s="3">
        <v>34285.21</v>
      </c>
      <c r="F12">
        <v>9172</v>
      </c>
      <c r="G12" s="4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 s="3">
        <v>723060.76</v>
      </c>
      <c r="N12" s="3">
        <v>123131.24</v>
      </c>
      <c r="O12" s="8" t="s">
        <v>103</v>
      </c>
    </row>
    <row r="13" spans="1:15">
      <c r="A13" t="s">
        <v>19</v>
      </c>
      <c r="B13" s="2">
        <v>45748</v>
      </c>
      <c r="C13" t="s">
        <v>20</v>
      </c>
      <c r="D13" t="s">
        <v>21</v>
      </c>
      <c r="E13" s="3">
        <v>67979.88</v>
      </c>
      <c r="F13">
        <v>11230</v>
      </c>
      <c r="G13" s="4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 s="3">
        <v>910791.94</v>
      </c>
      <c r="N13" s="3">
        <v>158891.28</v>
      </c>
      <c r="O13" s="8" t="s">
        <v>103</v>
      </c>
    </row>
    <row r="14" spans="1:15">
      <c r="A14" t="s">
        <v>22</v>
      </c>
      <c r="B14" s="2">
        <v>45658</v>
      </c>
      <c r="C14" t="s">
        <v>15</v>
      </c>
      <c r="D14" t="s">
        <v>16</v>
      </c>
      <c r="E14" s="3">
        <v>71828.259999999995</v>
      </c>
      <c r="F14">
        <v>12775</v>
      </c>
      <c r="G14" s="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 s="3">
        <v>922168.6</v>
      </c>
      <c r="N14" s="3">
        <v>107494.53</v>
      </c>
      <c r="O14" s="8" t="s">
        <v>103</v>
      </c>
    </row>
    <row r="15" spans="1:15">
      <c r="A15" t="s">
        <v>22</v>
      </c>
      <c r="B15" s="2">
        <v>45689</v>
      </c>
      <c r="C15" t="s">
        <v>15</v>
      </c>
      <c r="D15" t="s">
        <v>16</v>
      </c>
      <c r="E15" s="3">
        <v>55716.82</v>
      </c>
      <c r="F15">
        <v>10054</v>
      </c>
      <c r="G15" s="4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 s="3">
        <v>726606.28</v>
      </c>
      <c r="N15" s="3">
        <v>122729.29</v>
      </c>
      <c r="O15" s="8" t="s">
        <v>103</v>
      </c>
    </row>
    <row r="16" spans="1:15">
      <c r="A16" t="s">
        <v>22</v>
      </c>
      <c r="B16" s="2">
        <v>45717</v>
      </c>
      <c r="C16" t="s">
        <v>15</v>
      </c>
      <c r="D16" t="s">
        <v>16</v>
      </c>
      <c r="E16" s="3">
        <v>59909.51</v>
      </c>
      <c r="F16">
        <v>8895</v>
      </c>
      <c r="G16" s="4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 s="3">
        <v>746501.09</v>
      </c>
      <c r="N16" s="3">
        <v>136816.72</v>
      </c>
      <c r="O16" s="8" t="s">
        <v>103</v>
      </c>
    </row>
    <row r="17" spans="1:15">
      <c r="A17" t="s">
        <v>22</v>
      </c>
      <c r="B17" s="2">
        <v>45748</v>
      </c>
      <c r="C17" t="s">
        <v>15</v>
      </c>
      <c r="D17" t="s">
        <v>16</v>
      </c>
      <c r="E17" s="3">
        <v>75305.710000000006</v>
      </c>
      <c r="F17">
        <v>10940</v>
      </c>
      <c r="G17" s="4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 s="3">
        <v>834017.02</v>
      </c>
      <c r="N17" s="3">
        <v>114745.03</v>
      </c>
      <c r="O17" s="8" t="s">
        <v>103</v>
      </c>
    </row>
    <row r="18" spans="1:15">
      <c r="A18" t="s">
        <v>23</v>
      </c>
      <c r="B18" s="2">
        <v>45658</v>
      </c>
      <c r="C18" t="s">
        <v>24</v>
      </c>
      <c r="D18" t="s">
        <v>16</v>
      </c>
      <c r="E18" s="3">
        <v>48804.22</v>
      </c>
      <c r="F18">
        <v>7057</v>
      </c>
      <c r="G18" s="4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 s="3">
        <v>666152.52</v>
      </c>
      <c r="N18" s="3">
        <v>107490.58</v>
      </c>
      <c r="O18" s="8" t="s">
        <v>103</v>
      </c>
    </row>
    <row r="19" spans="1:15">
      <c r="A19" t="s">
        <v>23</v>
      </c>
      <c r="B19" s="2">
        <v>45689</v>
      </c>
      <c r="C19" t="s">
        <v>24</v>
      </c>
      <c r="D19" t="s">
        <v>16</v>
      </c>
      <c r="E19" s="3">
        <v>59117.9</v>
      </c>
      <c r="F19">
        <v>4263</v>
      </c>
      <c r="G19" s="4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 s="3">
        <v>573155.18999999994</v>
      </c>
      <c r="N19" s="3">
        <v>83680.75</v>
      </c>
      <c r="O19" s="8" t="s">
        <v>103</v>
      </c>
    </row>
    <row r="20" spans="1:15">
      <c r="A20" t="s">
        <v>23</v>
      </c>
      <c r="B20" s="2">
        <v>45717</v>
      </c>
      <c r="C20" t="s">
        <v>24</v>
      </c>
      <c r="D20" t="s">
        <v>16</v>
      </c>
      <c r="E20" s="3">
        <v>78831.12</v>
      </c>
      <c r="F20">
        <v>5538</v>
      </c>
      <c r="G20" s="4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 s="3">
        <v>666573.19999999995</v>
      </c>
      <c r="N20" s="3">
        <v>140641.01999999999</v>
      </c>
      <c r="O20" s="8" t="s">
        <v>103</v>
      </c>
    </row>
    <row r="21" spans="1:15">
      <c r="A21" t="s">
        <v>23</v>
      </c>
      <c r="B21" s="2">
        <v>45748</v>
      </c>
      <c r="C21" t="s">
        <v>24</v>
      </c>
      <c r="D21" t="s">
        <v>16</v>
      </c>
      <c r="E21" s="3">
        <v>41441.93</v>
      </c>
      <c r="F21">
        <v>4865</v>
      </c>
      <c r="G21" s="4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 s="3">
        <v>591619.94999999995</v>
      </c>
      <c r="N21" s="3">
        <v>99521.35</v>
      </c>
      <c r="O21" s="8" t="s">
        <v>103</v>
      </c>
    </row>
    <row r="22" spans="1:15">
      <c r="A22" t="s">
        <v>25</v>
      </c>
      <c r="B22" s="2">
        <v>45658</v>
      </c>
      <c r="C22" t="s">
        <v>20</v>
      </c>
      <c r="D22" t="s">
        <v>16</v>
      </c>
      <c r="E22" s="3">
        <v>30356.28</v>
      </c>
      <c r="F22">
        <v>2822</v>
      </c>
      <c r="G22" s="4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 s="3">
        <v>415721.82</v>
      </c>
      <c r="N22" s="3">
        <v>61179.15</v>
      </c>
      <c r="O22" s="8" t="s">
        <v>103</v>
      </c>
    </row>
    <row r="23" spans="1:15">
      <c r="A23" t="s">
        <v>25</v>
      </c>
      <c r="B23" s="2">
        <v>45689</v>
      </c>
      <c r="C23" t="s">
        <v>20</v>
      </c>
      <c r="D23" t="s">
        <v>16</v>
      </c>
      <c r="E23" s="3">
        <v>33518.879999999997</v>
      </c>
      <c r="F23">
        <v>2121</v>
      </c>
      <c r="G23" s="4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 s="3">
        <v>491905.13</v>
      </c>
      <c r="N23" s="3">
        <v>79212.259999999995</v>
      </c>
      <c r="O23" s="8" t="s">
        <v>103</v>
      </c>
    </row>
    <row r="24" spans="1:15">
      <c r="A24" t="s">
        <v>25</v>
      </c>
      <c r="B24" s="2">
        <v>45717</v>
      </c>
      <c r="C24" t="s">
        <v>20</v>
      </c>
      <c r="D24" t="s">
        <v>16</v>
      </c>
      <c r="E24" s="3">
        <v>42267.37</v>
      </c>
      <c r="F24">
        <v>3364</v>
      </c>
      <c r="G24" s="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 s="3">
        <v>555929.4</v>
      </c>
      <c r="N24" s="3">
        <v>115201.76</v>
      </c>
      <c r="O24" s="8" t="s">
        <v>103</v>
      </c>
    </row>
    <row r="25" spans="1:15">
      <c r="A25" t="s">
        <v>25</v>
      </c>
      <c r="B25" s="2">
        <v>45748</v>
      </c>
      <c r="C25" t="s">
        <v>20</v>
      </c>
      <c r="D25" t="s">
        <v>16</v>
      </c>
      <c r="E25" s="3">
        <v>62060.43</v>
      </c>
      <c r="F25">
        <v>2613</v>
      </c>
      <c r="G25" s="4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 s="3">
        <v>565810.99</v>
      </c>
      <c r="N25" s="3">
        <v>77825.460000000006</v>
      </c>
      <c r="O25" s="8" t="s">
        <v>103</v>
      </c>
    </row>
    <row r="26" spans="1:15">
      <c r="A26" t="s">
        <v>26</v>
      </c>
      <c r="B26" s="2">
        <v>45658</v>
      </c>
      <c r="C26" t="s">
        <v>27</v>
      </c>
      <c r="D26" t="s">
        <v>28</v>
      </c>
      <c r="E26" s="3">
        <v>57696.69</v>
      </c>
      <c r="F26">
        <v>10218</v>
      </c>
      <c r="G26" s="4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 s="3">
        <v>811771.14</v>
      </c>
      <c r="N26" s="3">
        <v>148756.24</v>
      </c>
      <c r="O26" s="8" t="s">
        <v>103</v>
      </c>
    </row>
    <row r="27" spans="1:15">
      <c r="A27" t="s">
        <v>26</v>
      </c>
      <c r="B27" s="2">
        <v>45689</v>
      </c>
      <c r="C27" t="s">
        <v>27</v>
      </c>
      <c r="D27" t="s">
        <v>28</v>
      </c>
      <c r="E27" s="3">
        <v>172415.52</v>
      </c>
      <c r="F27">
        <v>8927</v>
      </c>
      <c r="G27" s="4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 s="3">
        <v>800451.94</v>
      </c>
      <c r="N27" s="3">
        <v>111572.29</v>
      </c>
      <c r="O27" s="8" t="s">
        <v>103</v>
      </c>
    </row>
    <row r="28" spans="1:15">
      <c r="A28" t="s">
        <v>26</v>
      </c>
      <c r="B28" s="2">
        <v>45717</v>
      </c>
      <c r="C28" t="s">
        <v>27</v>
      </c>
      <c r="D28" t="s">
        <v>28</v>
      </c>
      <c r="E28" s="3">
        <v>55270.52</v>
      </c>
      <c r="F28">
        <v>9315</v>
      </c>
      <c r="G28" s="4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 s="3">
        <v>783672.82</v>
      </c>
      <c r="N28" s="3">
        <v>112577.14</v>
      </c>
      <c r="O28" s="8" t="s">
        <v>103</v>
      </c>
    </row>
    <row r="29" spans="1:15">
      <c r="A29" t="s">
        <v>26</v>
      </c>
      <c r="B29" s="2">
        <v>45748</v>
      </c>
      <c r="C29" t="s">
        <v>27</v>
      </c>
      <c r="D29" t="s">
        <v>28</v>
      </c>
      <c r="E29" s="3">
        <v>52715.1</v>
      </c>
      <c r="F29">
        <v>7223</v>
      </c>
      <c r="G29" s="4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 s="3">
        <v>701641.97</v>
      </c>
      <c r="N29" s="3">
        <v>106111.86</v>
      </c>
      <c r="O29" s="8" t="s">
        <v>103</v>
      </c>
    </row>
    <row r="30" spans="1:15">
      <c r="A30" t="s">
        <v>29</v>
      </c>
      <c r="B30" s="2">
        <v>45658</v>
      </c>
      <c r="C30" t="s">
        <v>15</v>
      </c>
      <c r="D30" t="s">
        <v>16</v>
      </c>
      <c r="E30" s="3">
        <v>68600.62</v>
      </c>
      <c r="F30">
        <v>3988</v>
      </c>
      <c r="G30" s="4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 s="3">
        <v>511844.41</v>
      </c>
      <c r="N30" s="3">
        <v>72774.44</v>
      </c>
      <c r="O30" s="8" t="s">
        <v>103</v>
      </c>
    </row>
    <row r="31" spans="1:15">
      <c r="A31" t="s">
        <v>29</v>
      </c>
      <c r="B31" s="2">
        <v>45689</v>
      </c>
      <c r="C31" t="s">
        <v>15</v>
      </c>
      <c r="D31" t="s">
        <v>16</v>
      </c>
      <c r="E31" s="3">
        <v>63176.73</v>
      </c>
      <c r="F31">
        <v>2390</v>
      </c>
      <c r="G31" s="4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 s="3">
        <v>537383.79</v>
      </c>
      <c r="N31" s="3">
        <v>63773.27</v>
      </c>
      <c r="O31" s="8" t="s">
        <v>103</v>
      </c>
    </row>
    <row r="32" spans="1:15">
      <c r="A32" t="s">
        <v>29</v>
      </c>
      <c r="B32" s="2">
        <v>45717</v>
      </c>
      <c r="C32" t="s">
        <v>15</v>
      </c>
      <c r="D32" t="s">
        <v>16</v>
      </c>
      <c r="E32" s="3">
        <v>44970.080000000002</v>
      </c>
      <c r="F32">
        <v>2471</v>
      </c>
      <c r="G32" s="4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 s="3">
        <v>500173.02</v>
      </c>
      <c r="N32" s="3">
        <v>70982.05</v>
      </c>
      <c r="O32" s="8" t="s">
        <v>103</v>
      </c>
    </row>
    <row r="33" spans="1:15">
      <c r="A33" t="s">
        <v>29</v>
      </c>
      <c r="B33" s="2">
        <v>45748</v>
      </c>
      <c r="C33" t="s">
        <v>15</v>
      </c>
      <c r="D33" t="s">
        <v>16</v>
      </c>
      <c r="E33" s="3">
        <v>69816.350000000006</v>
      </c>
      <c r="F33">
        <v>971</v>
      </c>
      <c r="G33" s="4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 s="3">
        <v>427917.38</v>
      </c>
      <c r="N33" s="3">
        <v>81824.31</v>
      </c>
      <c r="O33" s="8" t="s">
        <v>103</v>
      </c>
    </row>
    <row r="34" spans="1:15">
      <c r="A34" t="s">
        <v>30</v>
      </c>
      <c r="B34" s="2">
        <v>45658</v>
      </c>
      <c r="C34" t="s">
        <v>20</v>
      </c>
      <c r="D34" t="s">
        <v>16</v>
      </c>
      <c r="E34" s="3">
        <v>54597.83</v>
      </c>
      <c r="F34">
        <v>9429</v>
      </c>
      <c r="G34" s="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 s="3">
        <v>641865.03</v>
      </c>
      <c r="N34" s="3">
        <v>81342.58</v>
      </c>
      <c r="O34" s="8" t="s">
        <v>103</v>
      </c>
    </row>
    <row r="35" spans="1:15">
      <c r="A35" t="s">
        <v>30</v>
      </c>
      <c r="B35" s="2">
        <v>45689</v>
      </c>
      <c r="C35" t="s">
        <v>20</v>
      </c>
      <c r="D35" t="s">
        <v>16</v>
      </c>
      <c r="E35" s="3">
        <v>73771.91</v>
      </c>
      <c r="F35">
        <v>11695</v>
      </c>
      <c r="G35" s="4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 s="3">
        <v>799477.76000000001</v>
      </c>
      <c r="N35" s="3">
        <v>164974.41</v>
      </c>
      <c r="O35" s="8" t="s">
        <v>103</v>
      </c>
    </row>
    <row r="36" spans="1:15">
      <c r="A36" t="s">
        <v>30</v>
      </c>
      <c r="B36" s="2">
        <v>45717</v>
      </c>
      <c r="C36" t="s">
        <v>20</v>
      </c>
      <c r="D36" t="s">
        <v>16</v>
      </c>
      <c r="E36" s="3">
        <v>74413.88</v>
      </c>
      <c r="F36">
        <v>9449</v>
      </c>
      <c r="G36" s="4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 s="3">
        <v>798952.17</v>
      </c>
      <c r="N36" s="3">
        <v>161499.04</v>
      </c>
      <c r="O36" s="8" t="s">
        <v>103</v>
      </c>
    </row>
    <row r="37" spans="1:15">
      <c r="A37" t="s">
        <v>30</v>
      </c>
      <c r="B37" s="2">
        <v>45748</v>
      </c>
      <c r="C37" t="s">
        <v>20</v>
      </c>
      <c r="D37" t="s">
        <v>16</v>
      </c>
      <c r="E37" s="3">
        <v>52483.77</v>
      </c>
      <c r="F37">
        <v>10453</v>
      </c>
      <c r="G37" s="4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 s="3">
        <v>800979.78</v>
      </c>
      <c r="N37" s="3">
        <v>149242.26999999999</v>
      </c>
      <c r="O37" s="8" t="s">
        <v>103</v>
      </c>
    </row>
    <row r="38" spans="1:15">
      <c r="A38" t="s">
        <v>31</v>
      </c>
      <c r="B38" s="2">
        <v>45658</v>
      </c>
      <c r="C38" t="s">
        <v>20</v>
      </c>
      <c r="D38" t="s">
        <v>28</v>
      </c>
      <c r="E38" s="3">
        <v>75269.87</v>
      </c>
      <c r="F38">
        <v>8838</v>
      </c>
      <c r="G38" s="4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 s="3">
        <v>820593.93</v>
      </c>
      <c r="N38" s="3">
        <v>115860.06</v>
      </c>
      <c r="O38" s="8" t="s">
        <v>103</v>
      </c>
    </row>
    <row r="39" spans="1:15">
      <c r="A39" t="s">
        <v>31</v>
      </c>
      <c r="B39" s="2">
        <v>45689</v>
      </c>
      <c r="C39" t="s">
        <v>20</v>
      </c>
      <c r="D39" t="s">
        <v>28</v>
      </c>
      <c r="E39" s="3">
        <v>61245.41</v>
      </c>
      <c r="F39">
        <v>8156</v>
      </c>
      <c r="G39" s="4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 s="3">
        <v>718330.53</v>
      </c>
      <c r="N39" s="3">
        <v>93247.9</v>
      </c>
      <c r="O39" s="8" t="s">
        <v>103</v>
      </c>
    </row>
    <row r="40" spans="1:15">
      <c r="A40" t="s">
        <v>31</v>
      </c>
      <c r="B40" s="2">
        <v>45717</v>
      </c>
      <c r="C40" t="s">
        <v>20</v>
      </c>
      <c r="D40" t="s">
        <v>28</v>
      </c>
      <c r="E40" s="3">
        <v>93381.26</v>
      </c>
      <c r="F40">
        <v>7562</v>
      </c>
      <c r="G40" s="4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 s="3">
        <v>736633.4</v>
      </c>
      <c r="N40" s="3">
        <v>115654.66</v>
      </c>
      <c r="O40" s="8" t="s">
        <v>103</v>
      </c>
    </row>
    <row r="41" spans="1:15">
      <c r="A41" t="s">
        <v>31</v>
      </c>
      <c r="B41" s="2">
        <v>45748</v>
      </c>
      <c r="C41" t="s">
        <v>20</v>
      </c>
      <c r="D41" t="s">
        <v>28</v>
      </c>
      <c r="E41" s="3">
        <v>65012.19</v>
      </c>
      <c r="F41">
        <v>9598</v>
      </c>
      <c r="G41" s="4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 s="3">
        <v>828623.85</v>
      </c>
      <c r="N41" s="3">
        <v>167320.51999999999</v>
      </c>
      <c r="O41" s="8" t="s">
        <v>103</v>
      </c>
    </row>
    <row r="42" spans="1:15">
      <c r="A42" t="s">
        <v>32</v>
      </c>
      <c r="B42" s="2">
        <v>45658</v>
      </c>
      <c r="C42" t="s">
        <v>15</v>
      </c>
      <c r="D42" t="s">
        <v>28</v>
      </c>
      <c r="E42" s="3">
        <v>40462.94</v>
      </c>
      <c r="F42">
        <v>3660</v>
      </c>
      <c r="G42" s="4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 s="3">
        <v>592195.85</v>
      </c>
      <c r="N42" s="3">
        <v>92291.56</v>
      </c>
      <c r="O42" s="8" t="s">
        <v>103</v>
      </c>
    </row>
    <row r="43" spans="1:15">
      <c r="A43" t="s">
        <v>32</v>
      </c>
      <c r="B43" s="2">
        <v>45689</v>
      </c>
      <c r="C43" t="s">
        <v>15</v>
      </c>
      <c r="D43" t="s">
        <v>28</v>
      </c>
      <c r="E43" s="3">
        <v>46123.88</v>
      </c>
      <c r="F43">
        <v>3227</v>
      </c>
      <c r="G43" s="4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 s="3">
        <v>532644.46</v>
      </c>
      <c r="N43" s="3">
        <v>60681.32</v>
      </c>
      <c r="O43" s="8" t="s">
        <v>103</v>
      </c>
    </row>
    <row r="44" spans="1:15">
      <c r="A44" t="s">
        <v>32</v>
      </c>
      <c r="B44" s="2">
        <v>45717</v>
      </c>
      <c r="C44" t="s">
        <v>15</v>
      </c>
      <c r="D44" t="s">
        <v>28</v>
      </c>
      <c r="E44" s="3">
        <v>68077.539999999994</v>
      </c>
      <c r="F44">
        <v>3360</v>
      </c>
      <c r="G44" s="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 s="3">
        <v>657429.18000000005</v>
      </c>
      <c r="N44" s="3">
        <v>88919.74</v>
      </c>
      <c r="O44" s="8" t="s">
        <v>103</v>
      </c>
    </row>
    <row r="45" spans="1:15">
      <c r="A45" t="s">
        <v>32</v>
      </c>
      <c r="B45" s="2">
        <v>45748</v>
      </c>
      <c r="C45" t="s">
        <v>15</v>
      </c>
      <c r="D45" t="s">
        <v>28</v>
      </c>
      <c r="E45" s="3">
        <v>64882.14</v>
      </c>
      <c r="F45">
        <v>3642</v>
      </c>
      <c r="G45" s="4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 s="3">
        <v>605178</v>
      </c>
      <c r="N45" s="3">
        <v>106958.74</v>
      </c>
      <c r="O45" s="8" t="s">
        <v>103</v>
      </c>
    </row>
    <row r="46" spans="1:15">
      <c r="A46" t="s">
        <v>33</v>
      </c>
      <c r="B46" s="2">
        <v>45658</v>
      </c>
      <c r="C46" t="s">
        <v>27</v>
      </c>
      <c r="D46" t="s">
        <v>16</v>
      </c>
      <c r="E46" s="3">
        <v>138855.51</v>
      </c>
      <c r="F46">
        <v>5145</v>
      </c>
      <c r="G46" s="4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 s="3">
        <v>595467.6</v>
      </c>
      <c r="N46" s="3">
        <v>104276.46</v>
      </c>
      <c r="O46" s="8" t="s">
        <v>103</v>
      </c>
    </row>
    <row r="47" spans="1:15">
      <c r="A47" t="s">
        <v>33</v>
      </c>
      <c r="B47" s="2">
        <v>45689</v>
      </c>
      <c r="C47" t="s">
        <v>27</v>
      </c>
      <c r="D47" t="s">
        <v>16</v>
      </c>
      <c r="E47" s="3">
        <v>63630.21</v>
      </c>
      <c r="F47">
        <v>4460</v>
      </c>
      <c r="G47" s="4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 s="3">
        <v>599603.4</v>
      </c>
      <c r="N47" s="3">
        <v>112685.12</v>
      </c>
      <c r="O47" s="8" t="s">
        <v>103</v>
      </c>
    </row>
    <row r="48" spans="1:15">
      <c r="A48" t="s">
        <v>33</v>
      </c>
      <c r="B48" s="2">
        <v>45717</v>
      </c>
      <c r="C48" t="s">
        <v>27</v>
      </c>
      <c r="D48" t="s">
        <v>16</v>
      </c>
      <c r="E48" s="3">
        <v>50043.65</v>
      </c>
      <c r="F48">
        <v>3804</v>
      </c>
      <c r="G48" s="4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 s="3">
        <v>614800.09</v>
      </c>
      <c r="N48" s="3">
        <v>100044.2</v>
      </c>
      <c r="O48" s="8" t="s">
        <v>103</v>
      </c>
    </row>
    <row r="49" spans="1:15">
      <c r="A49" t="s">
        <v>33</v>
      </c>
      <c r="B49" s="2">
        <v>45748</v>
      </c>
      <c r="C49" t="s">
        <v>27</v>
      </c>
      <c r="D49" t="s">
        <v>16</v>
      </c>
      <c r="E49" s="3">
        <v>42093.84</v>
      </c>
      <c r="F49">
        <v>4074</v>
      </c>
      <c r="G49" s="4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 s="3">
        <v>585365.73</v>
      </c>
      <c r="N49" s="3">
        <v>81011.520000000004</v>
      </c>
      <c r="O49" s="8" t="s">
        <v>103</v>
      </c>
    </row>
    <row r="50" spans="1:15">
      <c r="A50" t="s">
        <v>34</v>
      </c>
      <c r="B50" s="2">
        <v>45658</v>
      </c>
      <c r="C50" t="s">
        <v>20</v>
      </c>
      <c r="D50" t="s">
        <v>28</v>
      </c>
      <c r="E50" s="3">
        <v>46624.05</v>
      </c>
      <c r="F50">
        <v>5104</v>
      </c>
      <c r="G50" s="4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 s="3">
        <v>622811.74</v>
      </c>
      <c r="N50" s="3">
        <v>109978.35</v>
      </c>
      <c r="O50" s="8" t="s">
        <v>103</v>
      </c>
    </row>
    <row r="51" spans="1:15">
      <c r="A51" t="s">
        <v>34</v>
      </c>
      <c r="B51" s="2">
        <v>45689</v>
      </c>
      <c r="C51" t="s">
        <v>20</v>
      </c>
      <c r="D51" t="s">
        <v>28</v>
      </c>
      <c r="E51" s="3">
        <v>49710.29</v>
      </c>
      <c r="F51">
        <v>5559</v>
      </c>
      <c r="G51" s="4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 s="3">
        <v>603297.56999999995</v>
      </c>
      <c r="N51" s="3">
        <v>60592.26</v>
      </c>
      <c r="O51" s="8" t="s">
        <v>103</v>
      </c>
    </row>
    <row r="52" spans="1:15">
      <c r="A52" t="s">
        <v>34</v>
      </c>
      <c r="B52" s="2">
        <v>45717</v>
      </c>
      <c r="C52" t="s">
        <v>20</v>
      </c>
      <c r="D52" t="s">
        <v>28</v>
      </c>
      <c r="E52" s="3">
        <v>48287.85</v>
      </c>
      <c r="F52">
        <v>5150</v>
      </c>
      <c r="G52" s="4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 s="3">
        <v>625672.86</v>
      </c>
      <c r="N52" s="3">
        <v>118020.12</v>
      </c>
      <c r="O52" s="8" t="s">
        <v>103</v>
      </c>
    </row>
    <row r="53" spans="1:15">
      <c r="A53" t="s">
        <v>34</v>
      </c>
      <c r="B53" s="2">
        <v>45748</v>
      </c>
      <c r="C53" t="s">
        <v>20</v>
      </c>
      <c r="D53" t="s">
        <v>28</v>
      </c>
      <c r="E53" s="3">
        <v>65312.49</v>
      </c>
      <c r="F53">
        <v>7189</v>
      </c>
      <c r="G53" s="4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 s="3">
        <v>773815.14</v>
      </c>
      <c r="N53" s="3">
        <v>133948.39000000001</v>
      </c>
      <c r="O53" s="8" t="s">
        <v>103</v>
      </c>
    </row>
    <row r="54" spans="1:15">
      <c r="A54" t="s">
        <v>35</v>
      </c>
      <c r="B54" s="2">
        <v>45658</v>
      </c>
      <c r="C54" t="s">
        <v>27</v>
      </c>
      <c r="D54" t="s">
        <v>18</v>
      </c>
      <c r="E54" s="3">
        <v>53015.46</v>
      </c>
      <c r="F54">
        <v>3279</v>
      </c>
      <c r="G54" s="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 s="3">
        <v>463534.25</v>
      </c>
      <c r="N54" s="3">
        <v>81834.539999999994</v>
      </c>
      <c r="O54" s="8" t="s">
        <v>103</v>
      </c>
    </row>
    <row r="55" spans="1:15">
      <c r="A55" t="s">
        <v>35</v>
      </c>
      <c r="B55" s="2">
        <v>45689</v>
      </c>
      <c r="C55" t="s">
        <v>27</v>
      </c>
      <c r="D55" t="s">
        <v>18</v>
      </c>
      <c r="E55" s="3">
        <v>99874.01</v>
      </c>
      <c r="F55">
        <v>5887</v>
      </c>
      <c r="G55" s="4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 s="3">
        <v>746677.75</v>
      </c>
      <c r="N55" s="3">
        <v>122437.84</v>
      </c>
      <c r="O55" s="8" t="s">
        <v>103</v>
      </c>
    </row>
    <row r="56" spans="1:15">
      <c r="A56" t="s">
        <v>35</v>
      </c>
      <c r="B56" s="2">
        <v>45717</v>
      </c>
      <c r="C56" t="s">
        <v>27</v>
      </c>
      <c r="D56" t="s">
        <v>18</v>
      </c>
      <c r="E56" s="3">
        <v>81195.5</v>
      </c>
      <c r="F56">
        <v>5516</v>
      </c>
      <c r="G56" s="4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 s="3">
        <v>720852.5</v>
      </c>
      <c r="N56" s="3">
        <v>98565.62</v>
      </c>
      <c r="O56" s="8" t="s">
        <v>103</v>
      </c>
    </row>
    <row r="57" spans="1:15">
      <c r="A57" t="s">
        <v>35</v>
      </c>
      <c r="B57" s="2">
        <v>45748</v>
      </c>
      <c r="C57" t="s">
        <v>27</v>
      </c>
      <c r="D57" t="s">
        <v>18</v>
      </c>
      <c r="E57" s="3">
        <v>27808.6</v>
      </c>
      <c r="F57">
        <v>2863</v>
      </c>
      <c r="G57" s="4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 s="3">
        <v>487464.91</v>
      </c>
      <c r="N57" s="3">
        <v>64562.26</v>
      </c>
      <c r="O57" s="8" t="s">
        <v>103</v>
      </c>
    </row>
    <row r="58" spans="1:15">
      <c r="A58" t="s">
        <v>36</v>
      </c>
      <c r="B58" s="2">
        <v>45658</v>
      </c>
      <c r="C58" t="s">
        <v>15</v>
      </c>
      <c r="D58" t="s">
        <v>21</v>
      </c>
      <c r="E58" s="3">
        <v>19365.060000000001</v>
      </c>
      <c r="F58">
        <v>2378</v>
      </c>
      <c r="G58" s="4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 s="3">
        <v>518049.26</v>
      </c>
      <c r="N58" s="3">
        <v>108592.49</v>
      </c>
      <c r="O58" s="8" t="s">
        <v>103</v>
      </c>
    </row>
    <row r="59" spans="1:15">
      <c r="A59" t="s">
        <v>36</v>
      </c>
      <c r="B59" s="2">
        <v>45689</v>
      </c>
      <c r="C59" t="s">
        <v>15</v>
      </c>
      <c r="D59" t="s">
        <v>21</v>
      </c>
      <c r="E59" s="3">
        <v>59405.68</v>
      </c>
      <c r="F59">
        <v>2515</v>
      </c>
      <c r="G59" s="4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 s="3">
        <v>500298.48</v>
      </c>
      <c r="N59" s="3">
        <v>73461.320000000007</v>
      </c>
      <c r="O59" s="8" t="s">
        <v>103</v>
      </c>
    </row>
    <row r="60" spans="1:15">
      <c r="A60" t="s">
        <v>36</v>
      </c>
      <c r="B60" s="2">
        <v>45717</v>
      </c>
      <c r="C60" t="s">
        <v>15</v>
      </c>
      <c r="D60" t="s">
        <v>21</v>
      </c>
      <c r="E60" s="3">
        <v>118910.48</v>
      </c>
      <c r="F60">
        <v>4022</v>
      </c>
      <c r="G60" s="4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 s="3">
        <v>617291.15</v>
      </c>
      <c r="N60" s="3">
        <v>117782</v>
      </c>
      <c r="O60" s="8" t="s">
        <v>103</v>
      </c>
    </row>
    <row r="61" spans="1:15">
      <c r="A61" t="s">
        <v>36</v>
      </c>
      <c r="B61" s="2">
        <v>45748</v>
      </c>
      <c r="C61" t="s">
        <v>15</v>
      </c>
      <c r="D61" t="s">
        <v>21</v>
      </c>
      <c r="E61" s="3">
        <v>52952.12</v>
      </c>
      <c r="F61">
        <v>4377</v>
      </c>
      <c r="G61" s="4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 s="3">
        <v>553756.43000000005</v>
      </c>
      <c r="N61" s="3">
        <v>86166.77</v>
      </c>
      <c r="O61" s="8" t="s">
        <v>103</v>
      </c>
    </row>
    <row r="62" spans="1:15">
      <c r="A62" t="s">
        <v>37</v>
      </c>
      <c r="B62" s="2">
        <v>45658</v>
      </c>
      <c r="C62" t="s">
        <v>24</v>
      </c>
      <c r="D62" t="s">
        <v>18</v>
      </c>
      <c r="E62" s="3">
        <v>74907.98</v>
      </c>
      <c r="F62">
        <v>5306</v>
      </c>
      <c r="G62" s="4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 s="3">
        <v>749559.71</v>
      </c>
      <c r="N62" s="3">
        <v>144522.53</v>
      </c>
      <c r="O62" s="8" t="s">
        <v>103</v>
      </c>
    </row>
    <row r="63" spans="1:15">
      <c r="A63" t="s">
        <v>37</v>
      </c>
      <c r="B63" s="2">
        <v>45689</v>
      </c>
      <c r="C63" t="s">
        <v>24</v>
      </c>
      <c r="D63" t="s">
        <v>18</v>
      </c>
      <c r="E63" s="3">
        <v>37284.660000000003</v>
      </c>
      <c r="F63">
        <v>3928</v>
      </c>
      <c r="G63" s="4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 s="3">
        <v>615966.48</v>
      </c>
      <c r="N63" s="3">
        <v>91509.38</v>
      </c>
      <c r="O63" s="8" t="s">
        <v>103</v>
      </c>
    </row>
    <row r="64" spans="1:15">
      <c r="A64" t="s">
        <v>37</v>
      </c>
      <c r="B64" s="2">
        <v>45717</v>
      </c>
      <c r="C64" t="s">
        <v>24</v>
      </c>
      <c r="D64" t="s">
        <v>18</v>
      </c>
      <c r="E64" s="3">
        <v>50343.19</v>
      </c>
      <c r="F64">
        <v>3845</v>
      </c>
      <c r="G64" s="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 s="3">
        <v>572011.19999999995</v>
      </c>
      <c r="N64" s="3">
        <v>101409.68</v>
      </c>
      <c r="O64" s="8" t="s">
        <v>103</v>
      </c>
    </row>
    <row r="65" spans="1:15">
      <c r="A65" t="s">
        <v>37</v>
      </c>
      <c r="B65" s="2">
        <v>45748</v>
      </c>
      <c r="C65" t="s">
        <v>24</v>
      </c>
      <c r="D65" t="s">
        <v>18</v>
      </c>
      <c r="E65" s="3">
        <v>74954.47</v>
      </c>
      <c r="F65">
        <v>6620</v>
      </c>
      <c r="G65" s="4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 s="3">
        <v>761860.19</v>
      </c>
      <c r="N65" s="3">
        <v>133279.38</v>
      </c>
      <c r="O65" s="8" t="s">
        <v>103</v>
      </c>
    </row>
    <row r="66" spans="1:15">
      <c r="A66" t="s">
        <v>38</v>
      </c>
      <c r="B66" s="2">
        <v>45658</v>
      </c>
      <c r="C66" t="s">
        <v>27</v>
      </c>
      <c r="D66" t="s">
        <v>18</v>
      </c>
      <c r="E66" s="3">
        <v>70040.31</v>
      </c>
      <c r="F66">
        <v>9175</v>
      </c>
      <c r="G66" s="4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 s="3">
        <v>784502.68</v>
      </c>
      <c r="N66" s="3">
        <v>129519.72</v>
      </c>
      <c r="O66" s="8" t="s">
        <v>103</v>
      </c>
    </row>
    <row r="67" spans="1:15">
      <c r="A67" t="s">
        <v>38</v>
      </c>
      <c r="B67" s="2">
        <v>45689</v>
      </c>
      <c r="C67" t="s">
        <v>27</v>
      </c>
      <c r="D67" t="s">
        <v>18</v>
      </c>
      <c r="E67" s="3">
        <v>51148.69</v>
      </c>
      <c r="F67">
        <v>7940</v>
      </c>
      <c r="G67" s="4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 s="3">
        <v>717141.55</v>
      </c>
      <c r="N67" s="3">
        <v>134013.60999999999</v>
      </c>
      <c r="O67" s="8" t="s">
        <v>103</v>
      </c>
    </row>
    <row r="68" spans="1:15">
      <c r="A68" t="s">
        <v>38</v>
      </c>
      <c r="B68" s="2">
        <v>45717</v>
      </c>
      <c r="C68" t="s">
        <v>27</v>
      </c>
      <c r="D68" t="s">
        <v>18</v>
      </c>
      <c r="E68" s="3">
        <v>79346.100000000006</v>
      </c>
      <c r="F68">
        <v>9628</v>
      </c>
      <c r="G68" s="4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 s="3">
        <v>685379.08</v>
      </c>
      <c r="N68" s="3">
        <v>106898.82</v>
      </c>
      <c r="O68" s="8" t="s">
        <v>103</v>
      </c>
    </row>
    <row r="69" spans="1:15">
      <c r="A69" t="s">
        <v>38</v>
      </c>
      <c r="B69" s="2">
        <v>45748</v>
      </c>
      <c r="C69" t="s">
        <v>27</v>
      </c>
      <c r="D69" t="s">
        <v>18</v>
      </c>
      <c r="E69" s="3">
        <v>42018.400000000001</v>
      </c>
      <c r="F69">
        <v>8296</v>
      </c>
      <c r="G69" s="4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 s="3">
        <v>740496.65</v>
      </c>
      <c r="N69" s="3">
        <v>128020.9</v>
      </c>
      <c r="O69" s="8" t="s">
        <v>103</v>
      </c>
    </row>
    <row r="70" spans="1:15">
      <c r="A70" t="s">
        <v>39</v>
      </c>
      <c r="B70" s="2">
        <v>45658</v>
      </c>
      <c r="C70" t="s">
        <v>15</v>
      </c>
      <c r="D70" t="s">
        <v>18</v>
      </c>
      <c r="E70" s="3">
        <v>70937.240000000005</v>
      </c>
      <c r="F70">
        <v>3595</v>
      </c>
      <c r="G70" s="4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 s="3">
        <v>661927.14</v>
      </c>
      <c r="N70" s="3">
        <v>79218.570000000007</v>
      </c>
      <c r="O70" s="8" t="s">
        <v>103</v>
      </c>
    </row>
    <row r="71" spans="1:15">
      <c r="A71" t="s">
        <v>39</v>
      </c>
      <c r="B71" s="2">
        <v>45689</v>
      </c>
      <c r="C71" t="s">
        <v>15</v>
      </c>
      <c r="D71" t="s">
        <v>18</v>
      </c>
      <c r="E71" s="3">
        <v>36813.449999999997</v>
      </c>
      <c r="F71">
        <v>2834</v>
      </c>
      <c r="G71" s="4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 s="3">
        <v>479050.5</v>
      </c>
      <c r="N71" s="3">
        <v>53651.11</v>
      </c>
      <c r="O71" s="8" t="s">
        <v>103</v>
      </c>
    </row>
    <row r="72" spans="1:15">
      <c r="A72" t="s">
        <v>39</v>
      </c>
      <c r="B72" s="2">
        <v>45717</v>
      </c>
      <c r="C72" t="s">
        <v>15</v>
      </c>
      <c r="D72" t="s">
        <v>18</v>
      </c>
      <c r="E72" s="3">
        <v>60571.82</v>
      </c>
      <c r="F72">
        <v>3193</v>
      </c>
      <c r="G72" s="4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 s="3">
        <v>605023.87</v>
      </c>
      <c r="N72" s="3">
        <v>98545.81</v>
      </c>
      <c r="O72" s="8" t="s">
        <v>103</v>
      </c>
    </row>
    <row r="73" spans="1:15">
      <c r="A73" t="s">
        <v>39</v>
      </c>
      <c r="B73" s="2">
        <v>45748</v>
      </c>
      <c r="C73" t="s">
        <v>15</v>
      </c>
      <c r="D73" t="s">
        <v>18</v>
      </c>
      <c r="E73" s="3">
        <v>55081.16</v>
      </c>
      <c r="F73">
        <v>5485</v>
      </c>
      <c r="G73" s="4">
        <v>3.5999999999999997E-2</v>
      </c>
      <c r="H73">
        <v>12</v>
      </c>
      <c r="I73">
        <v>88</v>
      </c>
      <c r="J73">
        <v>3.3650000000000002</v>
      </c>
      <c r="K73">
        <v>0</v>
      </c>
      <c r="L73">
        <v>3.5</v>
      </c>
      <c r="M73" s="3">
        <v>674774.09</v>
      </c>
      <c r="N73" s="3">
        <v>141917.59</v>
      </c>
      <c r="O73" s="8" t="s">
        <v>103</v>
      </c>
    </row>
    <row r="74" spans="1:15">
      <c r="A74" t="s">
        <v>40</v>
      </c>
      <c r="B74" s="2">
        <v>45658</v>
      </c>
      <c r="C74" t="s">
        <v>15</v>
      </c>
      <c r="D74" t="s">
        <v>16</v>
      </c>
      <c r="E74" s="3">
        <v>46201.46</v>
      </c>
      <c r="F74">
        <v>5918</v>
      </c>
      <c r="G74" s="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 s="3">
        <v>616069.41</v>
      </c>
      <c r="N74" s="3">
        <v>54453.99</v>
      </c>
      <c r="O74" s="8" t="s">
        <v>103</v>
      </c>
    </row>
    <row r="75" spans="1:15">
      <c r="A75" t="s">
        <v>40</v>
      </c>
      <c r="B75" s="2">
        <v>45689</v>
      </c>
      <c r="C75" t="s">
        <v>15</v>
      </c>
      <c r="D75" t="s">
        <v>16</v>
      </c>
      <c r="E75" s="3">
        <v>53762.92</v>
      </c>
      <c r="F75">
        <v>6821</v>
      </c>
      <c r="G75" s="4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 s="3">
        <v>630829.93999999994</v>
      </c>
      <c r="N75" s="3">
        <v>117090.02</v>
      </c>
      <c r="O75" s="8" t="s">
        <v>103</v>
      </c>
    </row>
    <row r="76" spans="1:15">
      <c r="A76" t="s">
        <v>40</v>
      </c>
      <c r="B76" s="2">
        <v>45717</v>
      </c>
      <c r="C76" t="s">
        <v>15</v>
      </c>
      <c r="D76" t="s">
        <v>16</v>
      </c>
      <c r="E76" s="3">
        <v>70144.78</v>
      </c>
      <c r="F76">
        <v>6806</v>
      </c>
      <c r="G76" s="4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 s="3">
        <v>788087.68</v>
      </c>
      <c r="N76" s="3">
        <v>116803.42</v>
      </c>
      <c r="O76" s="8" t="s">
        <v>103</v>
      </c>
    </row>
    <row r="77" spans="1:15">
      <c r="A77" t="s">
        <v>40</v>
      </c>
      <c r="B77" s="2">
        <v>45748</v>
      </c>
      <c r="C77" t="s">
        <v>15</v>
      </c>
      <c r="D77" t="s">
        <v>16</v>
      </c>
      <c r="E77" s="3">
        <v>58749.63</v>
      </c>
      <c r="F77">
        <v>8252</v>
      </c>
      <c r="G77" s="4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 s="3">
        <v>680840.36</v>
      </c>
      <c r="N77" s="3">
        <v>68007.679999999993</v>
      </c>
      <c r="O77" s="8" t="s">
        <v>103</v>
      </c>
    </row>
    <row r="78" spans="1:15">
      <c r="A78" t="s">
        <v>41</v>
      </c>
      <c r="B78" s="2">
        <v>45658</v>
      </c>
      <c r="C78" t="s">
        <v>24</v>
      </c>
      <c r="D78" t="s">
        <v>18</v>
      </c>
      <c r="E78" s="3">
        <v>56973.18</v>
      </c>
      <c r="F78">
        <v>6662</v>
      </c>
      <c r="G78" s="4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 s="3">
        <v>643657.47</v>
      </c>
      <c r="N78" s="3">
        <v>87022.45</v>
      </c>
      <c r="O78" s="8" t="s">
        <v>103</v>
      </c>
    </row>
    <row r="79" spans="1:15">
      <c r="A79" t="s">
        <v>41</v>
      </c>
      <c r="B79" s="2">
        <v>45689</v>
      </c>
      <c r="C79" t="s">
        <v>24</v>
      </c>
      <c r="D79" t="s">
        <v>18</v>
      </c>
      <c r="E79" s="3">
        <v>54872.82</v>
      </c>
      <c r="F79">
        <v>5962</v>
      </c>
      <c r="G79" s="4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 s="3">
        <v>691112.6</v>
      </c>
      <c r="N79" s="3">
        <v>109212.83</v>
      </c>
      <c r="O79" s="8" t="s">
        <v>103</v>
      </c>
    </row>
    <row r="80" spans="1:15">
      <c r="A80" t="s">
        <v>41</v>
      </c>
      <c r="B80" s="2">
        <v>45717</v>
      </c>
      <c r="C80" t="s">
        <v>24</v>
      </c>
      <c r="D80" t="s">
        <v>18</v>
      </c>
      <c r="E80" s="3">
        <v>80562.81</v>
      </c>
      <c r="F80">
        <v>7470</v>
      </c>
      <c r="G80" s="4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 s="3">
        <v>776922.17</v>
      </c>
      <c r="N80" s="3">
        <v>150701.93</v>
      </c>
      <c r="O80" s="8" t="s">
        <v>103</v>
      </c>
    </row>
    <row r="81" spans="1:15">
      <c r="A81" t="s">
        <v>41</v>
      </c>
      <c r="B81" s="2">
        <v>45748</v>
      </c>
      <c r="C81" t="s">
        <v>24</v>
      </c>
      <c r="D81" t="s">
        <v>18</v>
      </c>
      <c r="E81" s="3">
        <v>77999.899999999994</v>
      </c>
      <c r="F81">
        <v>5974</v>
      </c>
      <c r="G81" s="4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 s="3">
        <v>636561.34</v>
      </c>
      <c r="N81" s="3">
        <v>93861.06</v>
      </c>
      <c r="O81" s="8" t="s">
        <v>103</v>
      </c>
    </row>
    <row r="82" spans="1:15">
      <c r="A82" t="s">
        <v>42</v>
      </c>
      <c r="B82" s="2">
        <v>45658</v>
      </c>
      <c r="C82" t="s">
        <v>27</v>
      </c>
      <c r="D82" t="s">
        <v>28</v>
      </c>
      <c r="E82" s="3">
        <v>60881.01</v>
      </c>
      <c r="F82">
        <v>5410</v>
      </c>
      <c r="G82" s="4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 s="3">
        <v>621369.57999999996</v>
      </c>
      <c r="N82" s="3">
        <v>85493.64</v>
      </c>
      <c r="O82" s="8" t="s">
        <v>103</v>
      </c>
    </row>
    <row r="83" spans="1:15">
      <c r="A83" t="s">
        <v>42</v>
      </c>
      <c r="B83" s="2">
        <v>45689</v>
      </c>
      <c r="C83" t="s">
        <v>27</v>
      </c>
      <c r="D83" t="s">
        <v>28</v>
      </c>
      <c r="E83" s="3">
        <v>60628.38</v>
      </c>
      <c r="F83">
        <v>4451</v>
      </c>
      <c r="G83" s="4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 s="3">
        <v>682208.01</v>
      </c>
      <c r="N83" s="3">
        <v>110318.84</v>
      </c>
      <c r="O83" s="8" t="s">
        <v>103</v>
      </c>
    </row>
    <row r="84" spans="1:15">
      <c r="A84" t="s">
        <v>42</v>
      </c>
      <c r="B84" s="2">
        <v>45717</v>
      </c>
      <c r="C84" t="s">
        <v>27</v>
      </c>
      <c r="D84" t="s">
        <v>28</v>
      </c>
      <c r="E84" s="3">
        <v>72731.14</v>
      </c>
      <c r="F84">
        <v>4644</v>
      </c>
      <c r="G84" s="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 s="3">
        <v>727241.86</v>
      </c>
      <c r="N84" s="3">
        <v>155810.29999999999</v>
      </c>
      <c r="O84" s="8" t="s">
        <v>103</v>
      </c>
    </row>
    <row r="85" spans="1:15">
      <c r="A85" t="s">
        <v>42</v>
      </c>
      <c r="B85" s="2">
        <v>45748</v>
      </c>
      <c r="C85" t="s">
        <v>27</v>
      </c>
      <c r="D85" t="s">
        <v>28</v>
      </c>
      <c r="E85" s="3">
        <v>36475.71</v>
      </c>
      <c r="F85">
        <v>3559</v>
      </c>
      <c r="G85" s="4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 s="3">
        <v>569100.78</v>
      </c>
      <c r="N85" s="3">
        <v>104808.78</v>
      </c>
      <c r="O85" s="8" t="s">
        <v>103</v>
      </c>
    </row>
    <row r="86" spans="1:15">
      <c r="A86" t="s">
        <v>43</v>
      </c>
      <c r="B86" s="2">
        <v>45658</v>
      </c>
      <c r="C86" t="s">
        <v>27</v>
      </c>
      <c r="D86" t="s">
        <v>18</v>
      </c>
      <c r="E86" s="3">
        <v>55388.11</v>
      </c>
      <c r="F86">
        <v>3091</v>
      </c>
      <c r="G86" s="4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 s="3">
        <v>574436.29</v>
      </c>
      <c r="N86" s="3">
        <v>80271.990000000005</v>
      </c>
      <c r="O86" s="8" t="s">
        <v>103</v>
      </c>
    </row>
    <row r="87" spans="1:15">
      <c r="A87" t="s">
        <v>43</v>
      </c>
      <c r="B87" s="2">
        <v>45689</v>
      </c>
      <c r="C87" t="s">
        <v>27</v>
      </c>
      <c r="D87" t="s">
        <v>18</v>
      </c>
      <c r="E87" s="3">
        <v>88443.77</v>
      </c>
      <c r="F87">
        <v>4004</v>
      </c>
      <c r="G87" s="4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 s="3">
        <v>611766.72</v>
      </c>
      <c r="N87" s="3">
        <v>88275.61</v>
      </c>
      <c r="O87" s="8" t="s">
        <v>103</v>
      </c>
    </row>
    <row r="88" spans="1:15">
      <c r="A88" t="s">
        <v>43</v>
      </c>
      <c r="B88" s="2">
        <v>45717</v>
      </c>
      <c r="C88" t="s">
        <v>27</v>
      </c>
      <c r="D88" t="s">
        <v>18</v>
      </c>
      <c r="E88" s="3">
        <v>78231.91</v>
      </c>
      <c r="F88">
        <v>3788</v>
      </c>
      <c r="G88" s="4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 s="3">
        <v>614596.31999999995</v>
      </c>
      <c r="N88" s="3">
        <v>131199.41</v>
      </c>
      <c r="O88" s="8" t="s">
        <v>103</v>
      </c>
    </row>
    <row r="89" spans="1:15">
      <c r="A89" t="s">
        <v>43</v>
      </c>
      <c r="B89" s="2">
        <v>45748</v>
      </c>
      <c r="C89" t="s">
        <v>27</v>
      </c>
      <c r="D89" t="s">
        <v>18</v>
      </c>
      <c r="E89" s="3">
        <v>18996.32</v>
      </c>
      <c r="F89">
        <v>1260</v>
      </c>
      <c r="G89" s="4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 s="3">
        <v>450711.92</v>
      </c>
      <c r="N89" s="3">
        <v>90043.76</v>
      </c>
      <c r="O89" s="8" t="s">
        <v>103</v>
      </c>
    </row>
    <row r="90" spans="1:15">
      <c r="A90" t="s">
        <v>44</v>
      </c>
      <c r="B90" s="2">
        <v>45658</v>
      </c>
      <c r="C90" t="s">
        <v>24</v>
      </c>
      <c r="D90" t="s">
        <v>28</v>
      </c>
      <c r="E90" s="3">
        <v>50517.94</v>
      </c>
      <c r="F90">
        <v>7024</v>
      </c>
      <c r="G90" s="4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 s="3">
        <v>711213.46</v>
      </c>
      <c r="N90" s="3">
        <v>105863.26</v>
      </c>
      <c r="O90" s="8" t="s">
        <v>103</v>
      </c>
    </row>
    <row r="91" spans="1:15">
      <c r="A91" t="s">
        <v>44</v>
      </c>
      <c r="B91" s="2">
        <v>45689</v>
      </c>
      <c r="C91" t="s">
        <v>24</v>
      </c>
      <c r="D91" t="s">
        <v>28</v>
      </c>
      <c r="E91" s="3">
        <v>141540.29</v>
      </c>
      <c r="F91">
        <v>5400</v>
      </c>
      <c r="G91" s="4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 s="3">
        <v>627171.9</v>
      </c>
      <c r="N91" s="3">
        <v>105772.75</v>
      </c>
      <c r="O91" s="8" t="s">
        <v>103</v>
      </c>
    </row>
    <row r="92" spans="1:15">
      <c r="A92" t="s">
        <v>44</v>
      </c>
      <c r="B92" s="2">
        <v>45717</v>
      </c>
      <c r="C92" t="s">
        <v>24</v>
      </c>
      <c r="D92" t="s">
        <v>28</v>
      </c>
      <c r="E92" s="3">
        <v>82116.19</v>
      </c>
      <c r="F92">
        <v>5988</v>
      </c>
      <c r="G92" s="4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 s="3">
        <v>739852.58</v>
      </c>
      <c r="N92" s="3">
        <v>129386.43</v>
      </c>
      <c r="O92" s="8" t="s">
        <v>103</v>
      </c>
    </row>
    <row r="93" spans="1:15">
      <c r="A93" t="s">
        <v>44</v>
      </c>
      <c r="B93" s="2">
        <v>45748</v>
      </c>
      <c r="C93" t="s">
        <v>24</v>
      </c>
      <c r="D93" t="s">
        <v>28</v>
      </c>
      <c r="E93" s="3">
        <v>31207.51</v>
      </c>
      <c r="F93">
        <v>3701</v>
      </c>
      <c r="G93" s="4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 s="3">
        <v>586307.22</v>
      </c>
      <c r="N93" s="3">
        <v>73927.850000000006</v>
      </c>
      <c r="O93" s="8" t="s">
        <v>103</v>
      </c>
    </row>
    <row r="94" spans="1:15">
      <c r="A94" t="s">
        <v>45</v>
      </c>
      <c r="B94" s="2">
        <v>45658</v>
      </c>
      <c r="C94" t="s">
        <v>27</v>
      </c>
      <c r="D94" t="s">
        <v>16</v>
      </c>
      <c r="E94" s="3">
        <v>38966.589999999997</v>
      </c>
      <c r="F94">
        <v>4509</v>
      </c>
      <c r="G94" s="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 s="3">
        <v>585937.48</v>
      </c>
      <c r="N94" s="3">
        <v>82624.2</v>
      </c>
      <c r="O94" s="8" t="s">
        <v>103</v>
      </c>
    </row>
    <row r="95" spans="1:15">
      <c r="A95" t="s">
        <v>45</v>
      </c>
      <c r="B95" s="2">
        <v>45689</v>
      </c>
      <c r="C95" t="s">
        <v>27</v>
      </c>
      <c r="D95" t="s">
        <v>16</v>
      </c>
      <c r="E95" s="3">
        <v>67439.3</v>
      </c>
      <c r="F95">
        <v>6477</v>
      </c>
      <c r="G95" s="4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 s="3">
        <v>753473.55</v>
      </c>
      <c r="N95" s="3">
        <v>151527.22</v>
      </c>
      <c r="O95" s="8" t="s">
        <v>103</v>
      </c>
    </row>
    <row r="96" spans="1:15">
      <c r="A96" t="s">
        <v>45</v>
      </c>
      <c r="B96" s="2">
        <v>45717</v>
      </c>
      <c r="C96" t="s">
        <v>27</v>
      </c>
      <c r="D96" t="s">
        <v>16</v>
      </c>
      <c r="E96" s="3">
        <v>86421.88</v>
      </c>
      <c r="F96">
        <v>7970</v>
      </c>
      <c r="G96" s="4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 s="3">
        <v>838250.32</v>
      </c>
      <c r="N96" s="3">
        <v>122939.34</v>
      </c>
      <c r="O96" s="8" t="s">
        <v>103</v>
      </c>
    </row>
    <row r="97" spans="1:15">
      <c r="A97" t="s">
        <v>45</v>
      </c>
      <c r="B97" s="2">
        <v>45748</v>
      </c>
      <c r="C97" t="s">
        <v>27</v>
      </c>
      <c r="D97" t="s">
        <v>16</v>
      </c>
      <c r="E97" s="3">
        <v>9534.65</v>
      </c>
      <c r="F97">
        <v>6057</v>
      </c>
      <c r="G97" s="4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 s="3">
        <v>607898.12</v>
      </c>
      <c r="N97" s="3">
        <v>135404.85</v>
      </c>
      <c r="O97" s="8" t="s">
        <v>103</v>
      </c>
    </row>
    <row r="98" spans="1:15">
      <c r="A98" t="s">
        <v>46</v>
      </c>
      <c r="B98" s="2">
        <v>45658</v>
      </c>
      <c r="C98" t="s">
        <v>27</v>
      </c>
      <c r="D98" t="s">
        <v>28</v>
      </c>
      <c r="E98" s="3">
        <v>61132.07</v>
      </c>
      <c r="F98">
        <v>6394</v>
      </c>
      <c r="G98" s="4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 s="3">
        <v>691113.62</v>
      </c>
      <c r="N98" s="3">
        <v>135145.44</v>
      </c>
      <c r="O98" s="8" t="s">
        <v>103</v>
      </c>
    </row>
    <row r="99" spans="1:15">
      <c r="A99" t="s">
        <v>46</v>
      </c>
      <c r="B99" s="2">
        <v>45689</v>
      </c>
      <c r="C99" t="s">
        <v>27</v>
      </c>
      <c r="D99" t="s">
        <v>28</v>
      </c>
      <c r="E99" s="3">
        <v>78839.39</v>
      </c>
      <c r="F99">
        <v>5150</v>
      </c>
      <c r="G99" s="4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 s="3">
        <v>735509.4</v>
      </c>
      <c r="N99" s="3">
        <v>83895.96</v>
      </c>
      <c r="O99" s="8" t="s">
        <v>103</v>
      </c>
    </row>
    <row r="100" spans="1:15">
      <c r="A100" t="s">
        <v>46</v>
      </c>
      <c r="B100" s="2">
        <v>45717</v>
      </c>
      <c r="C100" t="s">
        <v>27</v>
      </c>
      <c r="D100" t="s">
        <v>28</v>
      </c>
      <c r="E100" s="3">
        <v>38752.800000000003</v>
      </c>
      <c r="F100">
        <v>4712</v>
      </c>
      <c r="G100" s="4">
        <v>7.4999999999999997E-2</v>
      </c>
      <c r="H100">
        <v>15</v>
      </c>
      <c r="I100">
        <v>89.7</v>
      </c>
      <c r="J100">
        <v>3.3650000000000002</v>
      </c>
      <c r="K100">
        <v>0</v>
      </c>
      <c r="L100">
        <v>4.3</v>
      </c>
      <c r="M100" s="3">
        <v>605775.32999999996</v>
      </c>
      <c r="N100" s="3">
        <v>107194.6</v>
      </c>
      <c r="O100" s="8" t="s">
        <v>103</v>
      </c>
    </row>
    <row r="101" spans="1:15">
      <c r="A101" t="s">
        <v>46</v>
      </c>
      <c r="B101" s="2">
        <v>45748</v>
      </c>
      <c r="C101" t="s">
        <v>27</v>
      </c>
      <c r="D101" t="s">
        <v>28</v>
      </c>
      <c r="E101" s="3">
        <v>55101.1</v>
      </c>
      <c r="F101">
        <v>5281</v>
      </c>
      <c r="G101" s="4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 s="3">
        <v>675177.68</v>
      </c>
      <c r="N101" s="3">
        <v>105628.68</v>
      </c>
      <c r="O101" s="8" t="s">
        <v>103</v>
      </c>
    </row>
    <row r="102" spans="1:15">
      <c r="A102" t="s">
        <v>47</v>
      </c>
      <c r="B102" s="2">
        <v>45658</v>
      </c>
      <c r="C102" t="s">
        <v>15</v>
      </c>
      <c r="D102" t="s">
        <v>28</v>
      </c>
      <c r="E102" s="3">
        <v>53084.76</v>
      </c>
      <c r="F102">
        <v>3642</v>
      </c>
      <c r="G102" s="4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 s="3">
        <v>635181.35</v>
      </c>
      <c r="N102" s="3">
        <v>83341.25</v>
      </c>
      <c r="O102" s="8" t="s">
        <v>103</v>
      </c>
    </row>
    <row r="103" spans="1:15">
      <c r="A103" t="s">
        <v>47</v>
      </c>
      <c r="B103" s="2">
        <v>45689</v>
      </c>
      <c r="C103" t="s">
        <v>15</v>
      </c>
      <c r="D103" t="s">
        <v>28</v>
      </c>
      <c r="E103" s="3">
        <v>63101.59</v>
      </c>
      <c r="F103">
        <v>4373</v>
      </c>
      <c r="G103" s="4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 s="3">
        <v>586626.93999999994</v>
      </c>
      <c r="N103" s="3">
        <v>86498.55</v>
      </c>
      <c r="O103" s="8" t="s">
        <v>103</v>
      </c>
    </row>
    <row r="104" spans="1:15">
      <c r="A104" t="s">
        <v>47</v>
      </c>
      <c r="B104" s="2">
        <v>45717</v>
      </c>
      <c r="C104" t="s">
        <v>15</v>
      </c>
      <c r="D104" t="s">
        <v>28</v>
      </c>
      <c r="E104" s="3">
        <v>90084.4</v>
      </c>
      <c r="F104">
        <v>6832</v>
      </c>
      <c r="G104" s="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 s="3">
        <v>740102.64</v>
      </c>
      <c r="N104" s="3">
        <v>114299.07</v>
      </c>
      <c r="O104" s="8" t="s">
        <v>103</v>
      </c>
    </row>
    <row r="105" spans="1:15">
      <c r="A105" t="s">
        <v>47</v>
      </c>
      <c r="B105" s="2">
        <v>45748</v>
      </c>
      <c r="C105" t="s">
        <v>15</v>
      </c>
      <c r="D105" t="s">
        <v>28</v>
      </c>
      <c r="E105" s="3">
        <v>32266.639999999999</v>
      </c>
      <c r="F105">
        <v>2414</v>
      </c>
      <c r="G105" s="4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 s="3">
        <v>625514.04</v>
      </c>
      <c r="N105" s="3">
        <v>120685.08</v>
      </c>
      <c r="O105" s="8" t="s">
        <v>103</v>
      </c>
    </row>
    <row r="106" spans="1:15">
      <c r="A106" t="s">
        <v>48</v>
      </c>
      <c r="B106" s="2">
        <v>45658</v>
      </c>
      <c r="C106" t="s">
        <v>27</v>
      </c>
      <c r="D106" t="s">
        <v>18</v>
      </c>
      <c r="E106" s="3">
        <v>57919.07</v>
      </c>
      <c r="F106">
        <v>7374</v>
      </c>
      <c r="G106" s="4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 s="3">
        <v>727227.2</v>
      </c>
      <c r="N106" s="3">
        <v>121292.01</v>
      </c>
      <c r="O106" s="8" t="s">
        <v>103</v>
      </c>
    </row>
    <row r="107" spans="1:15">
      <c r="A107" t="s">
        <v>48</v>
      </c>
      <c r="B107" s="2">
        <v>45689</v>
      </c>
      <c r="C107" t="s">
        <v>27</v>
      </c>
      <c r="D107" t="s">
        <v>18</v>
      </c>
      <c r="E107" s="3">
        <v>74679.350000000006</v>
      </c>
      <c r="F107">
        <v>8739</v>
      </c>
      <c r="G107" s="4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 s="3">
        <v>783797.89</v>
      </c>
      <c r="N107" s="3">
        <v>157620.70000000001</v>
      </c>
      <c r="O107" s="8" t="s">
        <v>103</v>
      </c>
    </row>
    <row r="108" spans="1:15">
      <c r="A108" t="s">
        <v>48</v>
      </c>
      <c r="B108" s="2">
        <v>45717</v>
      </c>
      <c r="C108" t="s">
        <v>27</v>
      </c>
      <c r="D108" t="s">
        <v>18</v>
      </c>
      <c r="E108" s="3">
        <v>64294.23</v>
      </c>
      <c r="F108">
        <v>6992</v>
      </c>
      <c r="G108" s="4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 s="3">
        <v>795153.84</v>
      </c>
      <c r="N108" s="3">
        <v>143194.21</v>
      </c>
      <c r="O108" s="8" t="s">
        <v>103</v>
      </c>
    </row>
    <row r="109" spans="1:15">
      <c r="A109" t="s">
        <v>48</v>
      </c>
      <c r="B109" s="2">
        <v>45748</v>
      </c>
      <c r="C109" t="s">
        <v>27</v>
      </c>
      <c r="D109" t="s">
        <v>18</v>
      </c>
      <c r="E109" s="3">
        <v>31042.03</v>
      </c>
      <c r="F109">
        <v>7107</v>
      </c>
      <c r="G109" s="4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 s="3">
        <v>665594.93999999994</v>
      </c>
      <c r="N109" s="3">
        <v>127597.34</v>
      </c>
      <c r="O109" s="8" t="s">
        <v>103</v>
      </c>
    </row>
    <row r="110" spans="1:15">
      <c r="A110" t="s">
        <v>49</v>
      </c>
      <c r="B110" s="2">
        <v>45658</v>
      </c>
      <c r="C110" t="s">
        <v>15</v>
      </c>
      <c r="D110" t="s">
        <v>28</v>
      </c>
      <c r="E110" s="3">
        <v>75265.02</v>
      </c>
      <c r="F110">
        <v>6975</v>
      </c>
      <c r="G110" s="4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 s="3">
        <v>709478.39</v>
      </c>
      <c r="N110" s="3">
        <v>71294.27</v>
      </c>
      <c r="O110" s="8" t="s">
        <v>103</v>
      </c>
    </row>
    <row r="111" spans="1:15">
      <c r="A111" t="s">
        <v>49</v>
      </c>
      <c r="B111" s="2">
        <v>45689</v>
      </c>
      <c r="C111" t="s">
        <v>15</v>
      </c>
      <c r="D111" t="s">
        <v>28</v>
      </c>
      <c r="E111" s="3">
        <v>69411.7</v>
      </c>
      <c r="F111">
        <v>5493</v>
      </c>
      <c r="G111" s="4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 s="3">
        <v>664162.49</v>
      </c>
      <c r="N111" s="3">
        <v>98291.06</v>
      </c>
      <c r="O111" s="8" t="s">
        <v>103</v>
      </c>
    </row>
    <row r="112" spans="1:15">
      <c r="A112" t="s">
        <v>49</v>
      </c>
      <c r="B112" s="2">
        <v>45717</v>
      </c>
      <c r="C112" t="s">
        <v>15</v>
      </c>
      <c r="D112" t="s">
        <v>28</v>
      </c>
      <c r="E112" s="3">
        <v>51056.15</v>
      </c>
      <c r="F112">
        <v>5686</v>
      </c>
      <c r="G112" s="4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 s="3">
        <v>633494.21</v>
      </c>
      <c r="N112" s="3">
        <v>105739.47</v>
      </c>
      <c r="O112" s="8" t="s">
        <v>103</v>
      </c>
    </row>
    <row r="113" spans="1:15">
      <c r="A113" t="s">
        <v>49</v>
      </c>
      <c r="B113" s="2">
        <v>45748</v>
      </c>
      <c r="C113" t="s">
        <v>15</v>
      </c>
      <c r="D113" t="s">
        <v>28</v>
      </c>
      <c r="E113" s="3">
        <v>52758.01</v>
      </c>
      <c r="F113">
        <v>4063</v>
      </c>
      <c r="G113" s="4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 s="3">
        <v>713611.16</v>
      </c>
      <c r="N113" s="3">
        <v>129717.18</v>
      </c>
      <c r="O113" s="8" t="s">
        <v>103</v>
      </c>
    </row>
    <row r="114" spans="1:15">
      <c r="A114" t="s">
        <v>50</v>
      </c>
      <c r="B114" s="2">
        <v>45658</v>
      </c>
      <c r="C114" t="s">
        <v>27</v>
      </c>
      <c r="D114" t="s">
        <v>28</v>
      </c>
      <c r="E114" s="3">
        <v>61426.04</v>
      </c>
      <c r="F114">
        <v>8966</v>
      </c>
      <c r="G114" s="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 s="3">
        <v>778397.97</v>
      </c>
      <c r="N114" s="3">
        <v>120044.41</v>
      </c>
      <c r="O114" s="8" t="s">
        <v>103</v>
      </c>
    </row>
    <row r="115" spans="1:15">
      <c r="A115" t="s">
        <v>50</v>
      </c>
      <c r="B115" s="2">
        <v>45689</v>
      </c>
      <c r="C115" t="s">
        <v>27</v>
      </c>
      <c r="D115" t="s">
        <v>28</v>
      </c>
      <c r="E115" s="3">
        <v>80176.34</v>
      </c>
      <c r="F115">
        <v>9489</v>
      </c>
      <c r="G115" s="4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 s="3">
        <v>873380.02</v>
      </c>
      <c r="N115" s="3">
        <v>149734.76</v>
      </c>
      <c r="O115" s="8" t="s">
        <v>103</v>
      </c>
    </row>
    <row r="116" spans="1:15">
      <c r="A116" t="s">
        <v>50</v>
      </c>
      <c r="B116" s="2">
        <v>45717</v>
      </c>
      <c r="C116" t="s">
        <v>27</v>
      </c>
      <c r="D116" t="s">
        <v>28</v>
      </c>
      <c r="E116" s="3">
        <v>33605.18</v>
      </c>
      <c r="F116">
        <v>9225</v>
      </c>
      <c r="G116" s="4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 s="3">
        <v>697287.9</v>
      </c>
      <c r="N116" s="3">
        <v>128208.33</v>
      </c>
      <c r="O116" s="8" t="s">
        <v>103</v>
      </c>
    </row>
    <row r="117" spans="1:15">
      <c r="A117" t="s">
        <v>50</v>
      </c>
      <c r="B117" s="2">
        <v>45748</v>
      </c>
      <c r="C117" t="s">
        <v>27</v>
      </c>
      <c r="D117" t="s">
        <v>28</v>
      </c>
      <c r="E117" s="3">
        <v>25990.54</v>
      </c>
      <c r="F117">
        <v>9249</v>
      </c>
      <c r="G117" s="4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 s="3">
        <v>718074.79</v>
      </c>
      <c r="N117" s="3">
        <v>115819.87</v>
      </c>
      <c r="O117" s="8" t="s">
        <v>103</v>
      </c>
    </row>
    <row r="118" spans="1:15">
      <c r="A118" t="s">
        <v>51</v>
      </c>
      <c r="B118" s="2">
        <v>45658</v>
      </c>
      <c r="C118" t="s">
        <v>27</v>
      </c>
      <c r="D118" t="s">
        <v>16</v>
      </c>
      <c r="E118" s="3">
        <v>43685.14</v>
      </c>
      <c r="F118">
        <v>7821</v>
      </c>
      <c r="G118" s="4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 s="3">
        <v>714942.43</v>
      </c>
      <c r="N118" s="3">
        <v>94697.71</v>
      </c>
      <c r="O118" s="8" t="s">
        <v>103</v>
      </c>
    </row>
    <row r="119" spans="1:15">
      <c r="A119" t="s">
        <v>51</v>
      </c>
      <c r="B119" s="2">
        <v>45689</v>
      </c>
      <c r="C119" t="s">
        <v>27</v>
      </c>
      <c r="D119" t="s">
        <v>16</v>
      </c>
      <c r="E119" s="3">
        <v>57360.01</v>
      </c>
      <c r="F119">
        <v>8434</v>
      </c>
      <c r="G119" s="4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 s="3">
        <v>820519.04</v>
      </c>
      <c r="N119" s="3">
        <v>99035.88</v>
      </c>
      <c r="O119" s="8" t="s">
        <v>103</v>
      </c>
    </row>
    <row r="120" spans="1:15">
      <c r="A120" t="s">
        <v>51</v>
      </c>
      <c r="B120" s="2">
        <v>45717</v>
      </c>
      <c r="C120" t="s">
        <v>27</v>
      </c>
      <c r="D120" t="s">
        <v>16</v>
      </c>
      <c r="E120" s="3">
        <v>42415.47</v>
      </c>
      <c r="F120">
        <v>8512</v>
      </c>
      <c r="G120" s="4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 s="3">
        <v>684217.32</v>
      </c>
      <c r="N120" s="3">
        <v>136217.19</v>
      </c>
      <c r="O120" s="8" t="s">
        <v>103</v>
      </c>
    </row>
    <row r="121" spans="1:15">
      <c r="A121" t="s">
        <v>51</v>
      </c>
      <c r="B121" s="2">
        <v>45748</v>
      </c>
      <c r="C121" t="s">
        <v>27</v>
      </c>
      <c r="D121" t="s">
        <v>16</v>
      </c>
      <c r="E121" s="3">
        <v>54968.98</v>
      </c>
      <c r="F121">
        <v>7816</v>
      </c>
      <c r="G121" s="4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 s="3">
        <v>735480.19</v>
      </c>
      <c r="N121" s="3">
        <v>88342.11</v>
      </c>
      <c r="O121" s="8" t="s">
        <v>103</v>
      </c>
    </row>
    <row r="122" spans="1:15">
      <c r="A122" t="s">
        <v>52</v>
      </c>
      <c r="B122" s="2">
        <v>45658</v>
      </c>
      <c r="C122" t="s">
        <v>20</v>
      </c>
      <c r="D122" t="s">
        <v>18</v>
      </c>
      <c r="E122" s="3">
        <v>43896.13</v>
      </c>
      <c r="F122">
        <v>3853</v>
      </c>
      <c r="G122" s="4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 s="3">
        <v>509484.81</v>
      </c>
      <c r="N122" s="3">
        <v>85742.36</v>
      </c>
      <c r="O122" s="8" t="s">
        <v>103</v>
      </c>
    </row>
    <row r="123" spans="1:15">
      <c r="A123" t="s">
        <v>52</v>
      </c>
      <c r="B123" s="2">
        <v>45689</v>
      </c>
      <c r="C123" t="s">
        <v>20</v>
      </c>
      <c r="D123" t="s">
        <v>18</v>
      </c>
      <c r="E123" s="3">
        <v>83044.17</v>
      </c>
      <c r="F123">
        <v>3694</v>
      </c>
      <c r="G123" s="4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 s="3">
        <v>654317.09</v>
      </c>
      <c r="N123" s="3">
        <v>121446.89</v>
      </c>
      <c r="O123" s="8" t="s">
        <v>103</v>
      </c>
    </row>
    <row r="124" spans="1:15">
      <c r="A124" t="s">
        <v>52</v>
      </c>
      <c r="B124" s="2">
        <v>45717</v>
      </c>
      <c r="C124" t="s">
        <v>20</v>
      </c>
      <c r="D124" t="s">
        <v>18</v>
      </c>
      <c r="E124" s="3">
        <v>48396.13</v>
      </c>
      <c r="F124">
        <v>4423</v>
      </c>
      <c r="G124" s="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 s="3">
        <v>557487.26</v>
      </c>
      <c r="N124" s="3">
        <v>76432.19</v>
      </c>
      <c r="O124" s="8" t="s">
        <v>103</v>
      </c>
    </row>
    <row r="125" spans="1:15">
      <c r="A125" t="s">
        <v>52</v>
      </c>
      <c r="B125" s="2">
        <v>45748</v>
      </c>
      <c r="C125" t="s">
        <v>20</v>
      </c>
      <c r="D125" t="s">
        <v>18</v>
      </c>
      <c r="E125" s="3">
        <v>19063.48</v>
      </c>
      <c r="F125">
        <v>1906</v>
      </c>
      <c r="G125" s="4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 s="3">
        <v>441275.42</v>
      </c>
      <c r="N125" s="3">
        <v>58234.87</v>
      </c>
      <c r="O125" s="8" t="s">
        <v>103</v>
      </c>
    </row>
    <row r="126" spans="1:15">
      <c r="A126" t="s">
        <v>53</v>
      </c>
      <c r="B126" s="2">
        <v>45658</v>
      </c>
      <c r="C126" t="s">
        <v>24</v>
      </c>
      <c r="D126" t="s">
        <v>18</v>
      </c>
      <c r="E126" s="3">
        <v>61541.21</v>
      </c>
      <c r="F126">
        <v>10396</v>
      </c>
      <c r="G126" s="4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 s="3">
        <v>914544.17</v>
      </c>
      <c r="N126" s="3">
        <v>79831.73</v>
      </c>
      <c r="O126" s="8" t="s">
        <v>103</v>
      </c>
    </row>
    <row r="127" spans="1:15">
      <c r="A127" t="s">
        <v>53</v>
      </c>
      <c r="B127" s="2">
        <v>45689</v>
      </c>
      <c r="C127" t="s">
        <v>24</v>
      </c>
      <c r="D127" t="s">
        <v>18</v>
      </c>
      <c r="E127" s="3">
        <v>44747</v>
      </c>
      <c r="F127">
        <v>11076</v>
      </c>
      <c r="G127" s="4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 s="3">
        <v>842439.67</v>
      </c>
      <c r="N127" s="3">
        <v>169983.63</v>
      </c>
      <c r="O127" s="8" t="s">
        <v>103</v>
      </c>
    </row>
    <row r="128" spans="1:15">
      <c r="A128" t="s">
        <v>53</v>
      </c>
      <c r="B128" s="2">
        <v>45717</v>
      </c>
      <c r="C128" t="s">
        <v>24</v>
      </c>
      <c r="D128" t="s">
        <v>18</v>
      </c>
      <c r="E128" s="3">
        <v>56517.9</v>
      </c>
      <c r="F128">
        <v>9574</v>
      </c>
      <c r="G128" s="4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 s="3">
        <v>842157.92</v>
      </c>
      <c r="N128" s="3">
        <v>107348.22</v>
      </c>
      <c r="O128" s="8" t="s">
        <v>103</v>
      </c>
    </row>
    <row r="129" spans="1:15">
      <c r="A129" t="s">
        <v>53</v>
      </c>
      <c r="B129" s="2">
        <v>45748</v>
      </c>
      <c r="C129" t="s">
        <v>24</v>
      </c>
      <c r="D129" t="s">
        <v>18</v>
      </c>
      <c r="E129" s="3">
        <v>37828.5</v>
      </c>
      <c r="F129">
        <v>8221</v>
      </c>
      <c r="G129" s="4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 s="3">
        <v>697155.3</v>
      </c>
      <c r="N129" s="3">
        <v>136408.54</v>
      </c>
      <c r="O129" s="8" t="s">
        <v>103</v>
      </c>
    </row>
    <row r="130" spans="1:15">
      <c r="A130" t="s">
        <v>54</v>
      </c>
      <c r="B130" s="2">
        <v>45658</v>
      </c>
      <c r="C130" t="s">
        <v>15</v>
      </c>
      <c r="D130" t="s">
        <v>18</v>
      </c>
      <c r="E130" s="3">
        <v>66250.53</v>
      </c>
      <c r="F130">
        <v>10618</v>
      </c>
      <c r="G130" s="4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 s="3">
        <v>849018.3</v>
      </c>
      <c r="N130" s="3">
        <v>149035.13</v>
      </c>
      <c r="O130" s="8" t="s">
        <v>103</v>
      </c>
    </row>
    <row r="131" spans="1:15">
      <c r="A131" t="s">
        <v>54</v>
      </c>
      <c r="B131" s="2">
        <v>45689</v>
      </c>
      <c r="C131" t="s">
        <v>15</v>
      </c>
      <c r="D131" t="s">
        <v>18</v>
      </c>
      <c r="E131" s="3">
        <v>68410.929999999993</v>
      </c>
      <c r="F131">
        <v>10596</v>
      </c>
      <c r="G131" s="4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 s="3">
        <v>801830.35</v>
      </c>
      <c r="N131" s="3">
        <v>114875.32</v>
      </c>
      <c r="O131" s="8" t="s">
        <v>103</v>
      </c>
    </row>
    <row r="132" spans="1:15">
      <c r="A132" t="s">
        <v>54</v>
      </c>
      <c r="B132" s="2">
        <v>45717</v>
      </c>
      <c r="C132" t="s">
        <v>15</v>
      </c>
      <c r="D132" t="s">
        <v>18</v>
      </c>
      <c r="E132" s="3">
        <v>50735.63</v>
      </c>
      <c r="F132">
        <v>9619</v>
      </c>
      <c r="G132" s="4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 s="3">
        <v>725235.28</v>
      </c>
      <c r="N132" s="3">
        <v>121632.24</v>
      </c>
      <c r="O132" s="8" t="s">
        <v>103</v>
      </c>
    </row>
    <row r="133" spans="1:15">
      <c r="A133" t="s">
        <v>54</v>
      </c>
      <c r="B133" s="2">
        <v>45748</v>
      </c>
      <c r="C133" t="s">
        <v>15</v>
      </c>
      <c r="D133" t="s">
        <v>18</v>
      </c>
      <c r="E133" s="3">
        <v>66455.8</v>
      </c>
      <c r="F133">
        <v>10836</v>
      </c>
      <c r="G133" s="4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 s="3">
        <v>811452.72</v>
      </c>
      <c r="N133" s="3">
        <v>131325.67000000001</v>
      </c>
      <c r="O133" s="8" t="s">
        <v>103</v>
      </c>
    </row>
    <row r="134" spans="1:15">
      <c r="A134" t="s">
        <v>55</v>
      </c>
      <c r="B134" s="2">
        <v>45658</v>
      </c>
      <c r="C134" t="s">
        <v>20</v>
      </c>
      <c r="D134" t="s">
        <v>18</v>
      </c>
      <c r="E134" s="3">
        <v>70276.28</v>
      </c>
      <c r="F134">
        <v>3043</v>
      </c>
      <c r="G134" s="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 s="3">
        <v>527300.13</v>
      </c>
      <c r="N134" s="3">
        <v>84197.87</v>
      </c>
      <c r="O134" s="8" t="s">
        <v>103</v>
      </c>
    </row>
    <row r="135" spans="1:15">
      <c r="A135" t="s">
        <v>55</v>
      </c>
      <c r="B135" s="2">
        <v>45689</v>
      </c>
      <c r="C135" t="s">
        <v>20</v>
      </c>
      <c r="D135" t="s">
        <v>18</v>
      </c>
      <c r="E135" s="3">
        <v>22071.64</v>
      </c>
      <c r="F135">
        <v>1814</v>
      </c>
      <c r="G135" s="4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 s="3">
        <v>400831.65</v>
      </c>
      <c r="N135" s="3">
        <v>70979.31</v>
      </c>
      <c r="O135" s="8" t="s">
        <v>103</v>
      </c>
    </row>
    <row r="136" spans="1:15">
      <c r="A136" t="s">
        <v>55</v>
      </c>
      <c r="B136" s="2">
        <v>45717</v>
      </c>
      <c r="C136" t="s">
        <v>20</v>
      </c>
      <c r="D136" t="s">
        <v>18</v>
      </c>
      <c r="E136" s="3">
        <v>52285.45</v>
      </c>
      <c r="F136">
        <v>3618</v>
      </c>
      <c r="G136" s="4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 s="3">
        <v>593247.25</v>
      </c>
      <c r="N136" s="3">
        <v>81240.289999999994</v>
      </c>
      <c r="O136" s="8" t="s">
        <v>103</v>
      </c>
    </row>
    <row r="137" spans="1:15">
      <c r="A137" t="s">
        <v>55</v>
      </c>
      <c r="B137" s="2">
        <v>45748</v>
      </c>
      <c r="C137" t="s">
        <v>20</v>
      </c>
      <c r="D137" t="s">
        <v>18</v>
      </c>
      <c r="E137" s="3">
        <v>70366.759999999995</v>
      </c>
      <c r="F137">
        <v>1963</v>
      </c>
      <c r="G137" s="4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 s="3">
        <v>529075.94999999995</v>
      </c>
      <c r="N137" s="3">
        <v>95978.83</v>
      </c>
      <c r="O137" s="8" t="s">
        <v>103</v>
      </c>
    </row>
    <row r="138" spans="1:15">
      <c r="A138" t="s">
        <v>56</v>
      </c>
      <c r="B138" s="2">
        <v>45658</v>
      </c>
      <c r="C138" t="s">
        <v>24</v>
      </c>
      <c r="D138" t="s">
        <v>16</v>
      </c>
      <c r="E138" s="3">
        <v>71320.66</v>
      </c>
      <c r="F138">
        <v>7888</v>
      </c>
      <c r="G138" s="4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 s="3">
        <v>633638.03</v>
      </c>
      <c r="N138" s="3">
        <v>99402.01</v>
      </c>
      <c r="O138" s="8" t="s">
        <v>103</v>
      </c>
    </row>
    <row r="139" spans="1:15">
      <c r="A139" t="s">
        <v>56</v>
      </c>
      <c r="B139" s="2">
        <v>45689</v>
      </c>
      <c r="C139" t="s">
        <v>24</v>
      </c>
      <c r="D139" t="s">
        <v>16</v>
      </c>
      <c r="E139" s="3">
        <v>75109.67</v>
      </c>
      <c r="F139">
        <v>6244</v>
      </c>
      <c r="G139" s="4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 s="3">
        <v>743348.84</v>
      </c>
      <c r="N139" s="3">
        <v>104186.09</v>
      </c>
      <c r="O139" s="8" t="s">
        <v>103</v>
      </c>
    </row>
    <row r="140" spans="1:15">
      <c r="A140" t="s">
        <v>56</v>
      </c>
      <c r="B140" s="2">
        <v>45717</v>
      </c>
      <c r="C140" t="s">
        <v>24</v>
      </c>
      <c r="D140" t="s">
        <v>16</v>
      </c>
      <c r="E140" s="3">
        <v>69779</v>
      </c>
      <c r="F140">
        <v>6544</v>
      </c>
      <c r="G140" s="4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 s="3">
        <v>758827.64</v>
      </c>
      <c r="N140" s="3">
        <v>161439.48000000001</v>
      </c>
      <c r="O140" s="8" t="s">
        <v>103</v>
      </c>
    </row>
    <row r="141" spans="1:15">
      <c r="A141" t="s">
        <v>56</v>
      </c>
      <c r="B141" s="2">
        <v>45748</v>
      </c>
      <c r="C141" t="s">
        <v>24</v>
      </c>
      <c r="D141" t="s">
        <v>16</v>
      </c>
      <c r="E141" s="3">
        <v>44211.95</v>
      </c>
      <c r="F141">
        <v>5465</v>
      </c>
      <c r="G141" s="4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 s="3">
        <v>646559.71</v>
      </c>
      <c r="N141" s="3">
        <v>97981.75</v>
      </c>
      <c r="O141" s="8" t="s">
        <v>103</v>
      </c>
    </row>
    <row r="142" spans="1:15">
      <c r="A142" t="s">
        <v>57</v>
      </c>
      <c r="B142" s="2">
        <v>45658</v>
      </c>
      <c r="C142" t="s">
        <v>27</v>
      </c>
      <c r="D142" t="s">
        <v>18</v>
      </c>
      <c r="E142" s="3">
        <v>51430.31</v>
      </c>
      <c r="F142">
        <v>6427</v>
      </c>
      <c r="G142" s="4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 s="3">
        <v>715890.53</v>
      </c>
      <c r="N142" s="3">
        <v>109032.15</v>
      </c>
      <c r="O142" s="8" t="s">
        <v>103</v>
      </c>
    </row>
    <row r="143" spans="1:15">
      <c r="A143" t="s">
        <v>57</v>
      </c>
      <c r="B143" s="2">
        <v>45689</v>
      </c>
      <c r="C143" t="s">
        <v>27</v>
      </c>
      <c r="D143" t="s">
        <v>18</v>
      </c>
      <c r="E143" s="3">
        <v>45706.49</v>
      </c>
      <c r="F143">
        <v>6704</v>
      </c>
      <c r="G143" s="4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 s="3">
        <v>715097.57</v>
      </c>
      <c r="N143" s="3">
        <v>151875.85999999999</v>
      </c>
      <c r="O143" s="8" t="s">
        <v>103</v>
      </c>
    </row>
    <row r="144" spans="1:15">
      <c r="A144" t="s">
        <v>57</v>
      </c>
      <c r="B144" s="2">
        <v>45717</v>
      </c>
      <c r="C144" t="s">
        <v>27</v>
      </c>
      <c r="D144" t="s">
        <v>18</v>
      </c>
      <c r="E144" s="3">
        <v>44034.6</v>
      </c>
      <c r="F144">
        <v>5645</v>
      </c>
      <c r="G144" s="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 s="3">
        <v>682639.28</v>
      </c>
      <c r="N144" s="3">
        <v>77557.53</v>
      </c>
      <c r="O144" s="8" t="s">
        <v>103</v>
      </c>
    </row>
    <row r="145" spans="1:15">
      <c r="A145" t="s">
        <v>57</v>
      </c>
      <c r="B145" s="2">
        <v>45748</v>
      </c>
      <c r="C145" t="s">
        <v>27</v>
      </c>
      <c r="D145" t="s">
        <v>18</v>
      </c>
      <c r="E145" s="3">
        <v>50198.12</v>
      </c>
      <c r="F145">
        <v>6089</v>
      </c>
      <c r="G145" s="4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 s="3">
        <v>695098.51</v>
      </c>
      <c r="N145" s="3">
        <v>108192.75</v>
      </c>
      <c r="O145" s="8" t="s">
        <v>103</v>
      </c>
    </row>
    <row r="146" spans="1:15">
      <c r="A146" t="s">
        <v>58</v>
      </c>
      <c r="B146" s="2">
        <v>45658</v>
      </c>
      <c r="C146" t="s">
        <v>20</v>
      </c>
      <c r="D146" t="s">
        <v>16</v>
      </c>
      <c r="E146" s="3">
        <v>70488.2</v>
      </c>
      <c r="F146">
        <v>4312</v>
      </c>
      <c r="G146" s="4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 s="3">
        <v>577732.56999999995</v>
      </c>
      <c r="N146" s="3">
        <v>93804.27</v>
      </c>
      <c r="O146" s="8" t="s">
        <v>103</v>
      </c>
    </row>
    <row r="147" spans="1:15">
      <c r="A147" t="s">
        <v>58</v>
      </c>
      <c r="B147" s="2">
        <v>45689</v>
      </c>
      <c r="C147" t="s">
        <v>20</v>
      </c>
      <c r="D147" t="s">
        <v>16</v>
      </c>
      <c r="E147" s="3">
        <v>50909.27</v>
      </c>
      <c r="F147">
        <v>3152</v>
      </c>
      <c r="G147" s="4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 s="3">
        <v>537058.32999999996</v>
      </c>
      <c r="N147" s="3">
        <v>93555.71</v>
      </c>
      <c r="O147" s="8" t="s">
        <v>103</v>
      </c>
    </row>
    <row r="148" spans="1:15">
      <c r="A148" t="s">
        <v>58</v>
      </c>
      <c r="B148" s="2">
        <v>45717</v>
      </c>
      <c r="C148" t="s">
        <v>20</v>
      </c>
      <c r="D148" t="s">
        <v>16</v>
      </c>
      <c r="E148" s="3">
        <v>53351.7</v>
      </c>
      <c r="F148">
        <v>4259</v>
      </c>
      <c r="G148" s="4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 s="3">
        <v>601568.87</v>
      </c>
      <c r="N148" s="3">
        <v>91634.82</v>
      </c>
      <c r="O148" s="8" t="s">
        <v>103</v>
      </c>
    </row>
    <row r="149" spans="1:15">
      <c r="A149" t="s">
        <v>58</v>
      </c>
      <c r="B149" s="2">
        <v>45748</v>
      </c>
      <c r="C149" t="s">
        <v>20</v>
      </c>
      <c r="D149" t="s">
        <v>16</v>
      </c>
      <c r="E149" s="3">
        <v>60322.400000000001</v>
      </c>
      <c r="F149">
        <v>3350</v>
      </c>
      <c r="G149" s="4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 s="3">
        <v>570964.84</v>
      </c>
      <c r="N149" s="3">
        <v>81331.070000000007</v>
      </c>
      <c r="O149" s="8" t="s">
        <v>103</v>
      </c>
    </row>
    <row r="150" spans="1:15">
      <c r="A150" t="s">
        <v>59</v>
      </c>
      <c r="B150" s="2">
        <v>45658</v>
      </c>
      <c r="C150" t="s">
        <v>24</v>
      </c>
      <c r="D150" t="s">
        <v>28</v>
      </c>
      <c r="E150" s="3">
        <v>51575.68</v>
      </c>
      <c r="F150">
        <v>5329</v>
      </c>
      <c r="G150" s="4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 s="3">
        <v>614024.91</v>
      </c>
      <c r="N150" s="3">
        <v>84828.93</v>
      </c>
      <c r="O150" s="8" t="s">
        <v>103</v>
      </c>
    </row>
    <row r="151" spans="1:15">
      <c r="A151" t="s">
        <v>59</v>
      </c>
      <c r="B151" s="2">
        <v>45689</v>
      </c>
      <c r="C151" t="s">
        <v>24</v>
      </c>
      <c r="D151" t="s">
        <v>28</v>
      </c>
      <c r="E151" s="3">
        <v>43319.94</v>
      </c>
      <c r="F151">
        <v>6551</v>
      </c>
      <c r="G151" s="4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 s="3">
        <v>712868.35</v>
      </c>
      <c r="N151" s="3">
        <v>133650.51</v>
      </c>
      <c r="O151" s="8" t="s">
        <v>103</v>
      </c>
    </row>
    <row r="152" spans="1:15">
      <c r="A152" t="s">
        <v>59</v>
      </c>
      <c r="B152" s="2">
        <v>45717</v>
      </c>
      <c r="C152" t="s">
        <v>24</v>
      </c>
      <c r="D152" t="s">
        <v>28</v>
      </c>
      <c r="E152" s="3">
        <v>47093.55</v>
      </c>
      <c r="F152">
        <v>5550</v>
      </c>
      <c r="G152" s="4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 s="3">
        <v>696744.15</v>
      </c>
      <c r="N152" s="3">
        <v>152230.09</v>
      </c>
      <c r="O152" s="8" t="s">
        <v>103</v>
      </c>
    </row>
    <row r="153" spans="1:15">
      <c r="A153" t="s">
        <v>59</v>
      </c>
      <c r="B153" s="2">
        <v>45748</v>
      </c>
      <c r="C153" t="s">
        <v>24</v>
      </c>
      <c r="D153" t="s">
        <v>28</v>
      </c>
      <c r="E153" s="3">
        <v>71855.09</v>
      </c>
      <c r="F153">
        <v>5911</v>
      </c>
      <c r="G153" s="4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 s="3">
        <v>725847.99</v>
      </c>
      <c r="N153" s="3">
        <v>122698.73</v>
      </c>
      <c r="O153" s="8" t="s">
        <v>103</v>
      </c>
    </row>
    <row r="154" spans="1:15">
      <c r="A154" t="s">
        <v>60</v>
      </c>
      <c r="B154" s="2">
        <v>45658</v>
      </c>
      <c r="C154" t="s">
        <v>15</v>
      </c>
      <c r="D154" t="s">
        <v>18</v>
      </c>
      <c r="E154" s="3">
        <v>75645.23</v>
      </c>
      <c r="F154">
        <v>9674</v>
      </c>
      <c r="G154" s="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 s="3">
        <v>785028.25</v>
      </c>
      <c r="N154" s="3">
        <v>110726.44</v>
      </c>
      <c r="O154" s="8" t="s">
        <v>103</v>
      </c>
    </row>
    <row r="155" spans="1:15">
      <c r="A155" t="s">
        <v>60</v>
      </c>
      <c r="B155" s="2">
        <v>45689</v>
      </c>
      <c r="C155" t="s">
        <v>15</v>
      </c>
      <c r="D155" t="s">
        <v>18</v>
      </c>
      <c r="E155" s="3">
        <v>64374.75</v>
      </c>
      <c r="F155">
        <v>6740</v>
      </c>
      <c r="G155" s="4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 s="3">
        <v>698492.67</v>
      </c>
      <c r="N155" s="3">
        <v>117319.32</v>
      </c>
      <c r="O155" s="8" t="s">
        <v>103</v>
      </c>
    </row>
    <row r="156" spans="1:15">
      <c r="A156" t="s">
        <v>60</v>
      </c>
      <c r="B156" s="2">
        <v>45717</v>
      </c>
      <c r="C156" t="s">
        <v>15</v>
      </c>
      <c r="D156" t="s">
        <v>18</v>
      </c>
      <c r="E156" s="3">
        <v>61433.84</v>
      </c>
      <c r="F156">
        <v>7745</v>
      </c>
      <c r="G156" s="4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 s="3">
        <v>685830.24</v>
      </c>
      <c r="N156" s="3">
        <v>128736.18</v>
      </c>
      <c r="O156" s="8" t="s">
        <v>103</v>
      </c>
    </row>
    <row r="157" spans="1:15">
      <c r="A157" t="s">
        <v>60</v>
      </c>
      <c r="B157" s="2">
        <v>45748</v>
      </c>
      <c r="C157" t="s">
        <v>15</v>
      </c>
      <c r="D157" t="s">
        <v>18</v>
      </c>
      <c r="E157" s="3">
        <v>42698.14</v>
      </c>
      <c r="F157">
        <v>7693</v>
      </c>
      <c r="G157" s="4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 s="3">
        <v>702318.94</v>
      </c>
      <c r="N157" s="3">
        <v>112829.29</v>
      </c>
      <c r="O157" s="8" t="s">
        <v>103</v>
      </c>
    </row>
    <row r="158" spans="1:15">
      <c r="A158" t="s">
        <v>61</v>
      </c>
      <c r="B158" s="2">
        <v>45658</v>
      </c>
      <c r="C158" t="s">
        <v>20</v>
      </c>
      <c r="D158" t="s">
        <v>28</v>
      </c>
      <c r="E158" s="3">
        <v>86883.31</v>
      </c>
      <c r="F158">
        <v>6424</v>
      </c>
      <c r="G158" s="4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 s="3">
        <v>700078.32</v>
      </c>
      <c r="N158" s="3">
        <v>123707.58</v>
      </c>
      <c r="O158" s="8" t="s">
        <v>103</v>
      </c>
    </row>
    <row r="159" spans="1:15">
      <c r="A159" t="s">
        <v>61</v>
      </c>
      <c r="B159" s="2">
        <v>45689</v>
      </c>
      <c r="C159" t="s">
        <v>20</v>
      </c>
      <c r="D159" t="s">
        <v>28</v>
      </c>
      <c r="E159" s="3">
        <v>41863.08</v>
      </c>
      <c r="F159">
        <v>5400</v>
      </c>
      <c r="G159" s="4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 s="3">
        <v>602002.31999999995</v>
      </c>
      <c r="N159" s="3">
        <v>110453.28</v>
      </c>
      <c r="O159" s="8" t="s">
        <v>103</v>
      </c>
    </row>
    <row r="160" spans="1:15">
      <c r="A160" t="s">
        <v>61</v>
      </c>
      <c r="B160" s="2">
        <v>45717</v>
      </c>
      <c r="C160" t="s">
        <v>20</v>
      </c>
      <c r="D160" t="s">
        <v>28</v>
      </c>
      <c r="E160" s="3">
        <v>56918.16</v>
      </c>
      <c r="F160">
        <v>7015</v>
      </c>
      <c r="G160" s="4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 s="3">
        <v>724216.07</v>
      </c>
      <c r="N160" s="3">
        <v>100627.56</v>
      </c>
      <c r="O160" s="8" t="s">
        <v>103</v>
      </c>
    </row>
    <row r="161" spans="1:15">
      <c r="A161" t="s">
        <v>61</v>
      </c>
      <c r="B161" s="2">
        <v>45748</v>
      </c>
      <c r="C161" t="s">
        <v>20</v>
      </c>
      <c r="D161" t="s">
        <v>28</v>
      </c>
      <c r="E161" s="3">
        <v>23254.57</v>
      </c>
      <c r="F161">
        <v>3847</v>
      </c>
      <c r="G161" s="4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 s="3">
        <v>620973.03</v>
      </c>
      <c r="N161" s="3">
        <v>72303.850000000006</v>
      </c>
      <c r="O161" s="8" t="s">
        <v>103</v>
      </c>
    </row>
    <row r="162" spans="1:15">
      <c r="A162" t="s">
        <v>62</v>
      </c>
      <c r="B162" s="2">
        <v>45658</v>
      </c>
      <c r="C162" t="s">
        <v>24</v>
      </c>
      <c r="D162" t="s">
        <v>18</v>
      </c>
      <c r="E162" s="3">
        <v>41443.410000000003</v>
      </c>
      <c r="F162">
        <v>7455</v>
      </c>
      <c r="G162" s="4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 s="3">
        <v>650480.06000000006</v>
      </c>
      <c r="N162" s="3">
        <v>109012.07</v>
      </c>
      <c r="O162" s="8" t="s">
        <v>103</v>
      </c>
    </row>
    <row r="163" spans="1:15">
      <c r="A163" t="s">
        <v>62</v>
      </c>
      <c r="B163" s="2">
        <v>45689</v>
      </c>
      <c r="C163" t="s">
        <v>24</v>
      </c>
      <c r="D163" t="s">
        <v>18</v>
      </c>
      <c r="E163" s="3">
        <v>48438.85</v>
      </c>
      <c r="F163">
        <v>6992</v>
      </c>
      <c r="G163" s="4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 s="3">
        <v>778298.88</v>
      </c>
      <c r="N163" s="3">
        <v>130076.72</v>
      </c>
      <c r="O163" s="8" t="s">
        <v>103</v>
      </c>
    </row>
    <row r="164" spans="1:15">
      <c r="A164" t="s">
        <v>62</v>
      </c>
      <c r="B164" s="2">
        <v>45717</v>
      </c>
      <c r="C164" t="s">
        <v>24</v>
      </c>
      <c r="D164" t="s">
        <v>18</v>
      </c>
      <c r="E164" s="3">
        <v>57143.3</v>
      </c>
      <c r="F164">
        <v>8038</v>
      </c>
      <c r="G164" s="4">
        <v>0.193</v>
      </c>
      <c r="H164">
        <v>17</v>
      </c>
      <c r="I164">
        <v>72.599999999999994</v>
      </c>
      <c r="J164">
        <v>3.3650000000000002</v>
      </c>
      <c r="K164">
        <v>0</v>
      </c>
      <c r="L164">
        <v>4.2</v>
      </c>
      <c r="M164" s="3">
        <v>677096.71</v>
      </c>
      <c r="N164" s="3">
        <v>97174.11</v>
      </c>
      <c r="O164" s="8" t="s">
        <v>103</v>
      </c>
    </row>
    <row r="165" spans="1:15">
      <c r="A165" t="s">
        <v>62</v>
      </c>
      <c r="B165" s="2">
        <v>45748</v>
      </c>
      <c r="C165" t="s">
        <v>24</v>
      </c>
      <c r="D165" t="s">
        <v>18</v>
      </c>
      <c r="E165" s="3">
        <v>66870.62</v>
      </c>
      <c r="F165">
        <v>6055</v>
      </c>
      <c r="G165" s="4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 s="3">
        <v>692008.64</v>
      </c>
      <c r="N165" s="3">
        <v>116337.87</v>
      </c>
      <c r="O165" s="8" t="s">
        <v>103</v>
      </c>
    </row>
    <row r="166" spans="1:15">
      <c r="A166" t="s">
        <v>63</v>
      </c>
      <c r="B166" s="2">
        <v>45658</v>
      </c>
      <c r="C166" t="s">
        <v>20</v>
      </c>
      <c r="D166" t="s">
        <v>28</v>
      </c>
      <c r="E166" s="3">
        <v>72150.53</v>
      </c>
      <c r="F166">
        <v>9323</v>
      </c>
      <c r="G166" s="4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 s="3">
        <v>825797.91</v>
      </c>
      <c r="N166" s="3">
        <v>130945.24</v>
      </c>
      <c r="O166" s="8" t="s">
        <v>103</v>
      </c>
    </row>
    <row r="167" spans="1:15">
      <c r="A167" t="s">
        <v>63</v>
      </c>
      <c r="B167" s="2">
        <v>45689</v>
      </c>
      <c r="C167" t="s">
        <v>20</v>
      </c>
      <c r="D167" t="s">
        <v>28</v>
      </c>
      <c r="E167" s="3">
        <v>35303.300000000003</v>
      </c>
      <c r="F167">
        <v>8789</v>
      </c>
      <c r="G167" s="4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 s="3">
        <v>706285.52</v>
      </c>
      <c r="N167" s="3">
        <v>138014.72</v>
      </c>
      <c r="O167" s="8" t="s">
        <v>103</v>
      </c>
    </row>
    <row r="168" spans="1:15">
      <c r="A168" t="s">
        <v>63</v>
      </c>
      <c r="B168" s="2">
        <v>45717</v>
      </c>
      <c r="C168" t="s">
        <v>20</v>
      </c>
      <c r="D168" t="s">
        <v>28</v>
      </c>
      <c r="E168" s="3">
        <v>30301.86</v>
      </c>
      <c r="F168">
        <v>6939</v>
      </c>
      <c r="G168" s="4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 s="3">
        <v>665534.69999999995</v>
      </c>
      <c r="N168" s="3">
        <v>113167.73</v>
      </c>
      <c r="O168" s="8" t="s">
        <v>103</v>
      </c>
    </row>
    <row r="169" spans="1:15">
      <c r="A169" t="s">
        <v>63</v>
      </c>
      <c r="B169" s="2">
        <v>45748</v>
      </c>
      <c r="C169" t="s">
        <v>20</v>
      </c>
      <c r="D169" t="s">
        <v>28</v>
      </c>
      <c r="E169" s="3">
        <v>78432.14</v>
      </c>
      <c r="F169">
        <v>9440</v>
      </c>
      <c r="G169" s="4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 s="3">
        <v>820729.29</v>
      </c>
      <c r="N169" s="3">
        <v>159325.47</v>
      </c>
      <c r="O169" s="8" t="s">
        <v>103</v>
      </c>
    </row>
    <row r="170" spans="1:15">
      <c r="A170" t="s">
        <v>64</v>
      </c>
      <c r="B170" s="2">
        <v>45658</v>
      </c>
      <c r="C170" t="s">
        <v>15</v>
      </c>
      <c r="D170" t="s">
        <v>16</v>
      </c>
      <c r="E170" s="3">
        <v>62059.18</v>
      </c>
      <c r="F170">
        <v>9374</v>
      </c>
      <c r="G170" s="4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 s="3">
        <v>739831.73</v>
      </c>
      <c r="N170" s="3">
        <v>119490.21</v>
      </c>
      <c r="O170" s="8" t="s">
        <v>103</v>
      </c>
    </row>
    <row r="171" spans="1:15">
      <c r="A171" t="s">
        <v>64</v>
      </c>
      <c r="B171" s="2">
        <v>45689</v>
      </c>
      <c r="C171" t="s">
        <v>15</v>
      </c>
      <c r="D171" t="s">
        <v>16</v>
      </c>
      <c r="E171" s="3">
        <v>32834.480000000003</v>
      </c>
      <c r="F171">
        <v>7576</v>
      </c>
      <c r="G171" s="4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 s="3">
        <v>593637.14</v>
      </c>
      <c r="N171" s="3">
        <v>106648.14</v>
      </c>
      <c r="O171" s="8" t="s">
        <v>103</v>
      </c>
    </row>
    <row r="172" spans="1:15">
      <c r="A172" t="s">
        <v>64</v>
      </c>
      <c r="B172" s="2">
        <v>45717</v>
      </c>
      <c r="C172" t="s">
        <v>15</v>
      </c>
      <c r="D172" t="s">
        <v>16</v>
      </c>
      <c r="E172" s="3">
        <v>50825.08</v>
      </c>
      <c r="F172">
        <v>8949</v>
      </c>
      <c r="G172" s="4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 s="3">
        <v>769702.76</v>
      </c>
      <c r="N172" s="3">
        <v>158697</v>
      </c>
      <c r="O172" s="8" t="s">
        <v>103</v>
      </c>
    </row>
    <row r="173" spans="1:15">
      <c r="A173" t="s">
        <v>64</v>
      </c>
      <c r="B173" s="2">
        <v>45748</v>
      </c>
      <c r="C173" t="s">
        <v>15</v>
      </c>
      <c r="D173" t="s">
        <v>16</v>
      </c>
      <c r="E173" s="3">
        <v>36606.51</v>
      </c>
      <c r="F173">
        <v>7671</v>
      </c>
      <c r="G173" s="4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 s="3">
        <v>679731.57</v>
      </c>
      <c r="N173" s="3">
        <v>121546.42</v>
      </c>
      <c r="O173" s="8" t="s">
        <v>103</v>
      </c>
    </row>
    <row r="174" spans="1:15">
      <c r="A174" t="s">
        <v>65</v>
      </c>
      <c r="B174" s="2">
        <v>45658</v>
      </c>
      <c r="C174" t="s">
        <v>15</v>
      </c>
      <c r="D174" t="s">
        <v>16</v>
      </c>
      <c r="E174" s="3">
        <v>65237.79</v>
      </c>
      <c r="F174">
        <v>8741</v>
      </c>
      <c r="G174" s="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 s="3">
        <v>780344.18</v>
      </c>
      <c r="N174" s="3">
        <v>118239.09</v>
      </c>
      <c r="O174" s="8" t="s">
        <v>103</v>
      </c>
    </row>
    <row r="175" spans="1:15">
      <c r="A175" t="s">
        <v>65</v>
      </c>
      <c r="B175" s="2">
        <v>45689</v>
      </c>
      <c r="C175" t="s">
        <v>15</v>
      </c>
      <c r="D175" t="s">
        <v>16</v>
      </c>
      <c r="E175" s="3">
        <v>43645.98</v>
      </c>
      <c r="F175">
        <v>9480</v>
      </c>
      <c r="G175" s="4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 s="3">
        <v>721364.11</v>
      </c>
      <c r="N175" s="3">
        <v>147272.81</v>
      </c>
      <c r="O175" s="8" t="s">
        <v>103</v>
      </c>
    </row>
    <row r="176" spans="1:15">
      <c r="A176" t="s">
        <v>65</v>
      </c>
      <c r="B176" s="2">
        <v>45717</v>
      </c>
      <c r="C176" t="s">
        <v>15</v>
      </c>
      <c r="D176" t="s">
        <v>16</v>
      </c>
      <c r="E176" s="3">
        <v>68040.149999999994</v>
      </c>
      <c r="F176">
        <v>9826</v>
      </c>
      <c r="G176" s="4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 s="3">
        <v>758138.29</v>
      </c>
      <c r="N176" s="3">
        <v>132975.26</v>
      </c>
      <c r="O176" s="8" t="s">
        <v>103</v>
      </c>
    </row>
    <row r="177" spans="1:15">
      <c r="A177" t="s">
        <v>65</v>
      </c>
      <c r="B177" s="2">
        <v>45748</v>
      </c>
      <c r="C177" t="s">
        <v>15</v>
      </c>
      <c r="D177" t="s">
        <v>16</v>
      </c>
      <c r="E177" s="3">
        <v>63043.94</v>
      </c>
      <c r="F177">
        <v>10402</v>
      </c>
      <c r="G177" s="4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 s="3">
        <v>804264</v>
      </c>
      <c r="N177" s="3">
        <v>167117.91</v>
      </c>
      <c r="O177" s="8" t="s">
        <v>103</v>
      </c>
    </row>
    <row r="178" spans="1:15">
      <c r="A178" t="s">
        <v>66</v>
      </c>
      <c r="B178" s="2">
        <v>45658</v>
      </c>
      <c r="C178" t="s">
        <v>27</v>
      </c>
      <c r="D178" t="s">
        <v>21</v>
      </c>
      <c r="E178" s="3">
        <v>67494.09</v>
      </c>
      <c r="F178">
        <v>12361</v>
      </c>
      <c r="G178" s="4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 s="3">
        <v>887537.75</v>
      </c>
      <c r="N178" s="3">
        <v>160362.92000000001</v>
      </c>
      <c r="O178" s="8" t="s">
        <v>103</v>
      </c>
    </row>
    <row r="179" spans="1:15">
      <c r="A179" t="s">
        <v>66</v>
      </c>
      <c r="B179" s="2">
        <v>45689</v>
      </c>
      <c r="C179" t="s">
        <v>27</v>
      </c>
      <c r="D179" t="s">
        <v>21</v>
      </c>
      <c r="E179" s="3">
        <v>29389.32</v>
      </c>
      <c r="F179">
        <v>7925</v>
      </c>
      <c r="G179" s="4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 s="3">
        <v>783582</v>
      </c>
      <c r="N179" s="3">
        <v>130670.93</v>
      </c>
      <c r="O179" s="8" t="s">
        <v>103</v>
      </c>
    </row>
    <row r="180" spans="1:15">
      <c r="A180" t="s">
        <v>66</v>
      </c>
      <c r="B180" s="2">
        <v>45717</v>
      </c>
      <c r="C180" t="s">
        <v>27</v>
      </c>
      <c r="D180" t="s">
        <v>21</v>
      </c>
      <c r="E180" s="3">
        <v>40535.089999999997</v>
      </c>
      <c r="F180">
        <v>8870</v>
      </c>
      <c r="G180" s="4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 s="3">
        <v>781955.52</v>
      </c>
      <c r="N180" s="3">
        <v>152578.71</v>
      </c>
      <c r="O180" s="8" t="s">
        <v>103</v>
      </c>
    </row>
    <row r="181" spans="1:15">
      <c r="A181" t="s">
        <v>66</v>
      </c>
      <c r="B181" s="2">
        <v>45748</v>
      </c>
      <c r="C181" t="s">
        <v>27</v>
      </c>
      <c r="D181" t="s">
        <v>21</v>
      </c>
      <c r="E181" s="3">
        <v>74881.56</v>
      </c>
      <c r="F181">
        <v>9999</v>
      </c>
      <c r="G181" s="4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 s="3">
        <v>898031.04</v>
      </c>
      <c r="N181" s="3">
        <v>138666.5</v>
      </c>
      <c r="O181" s="8" t="s">
        <v>103</v>
      </c>
    </row>
    <row r="182" spans="1:15">
      <c r="A182" t="s">
        <v>67</v>
      </c>
      <c r="B182" s="2">
        <v>45658</v>
      </c>
      <c r="C182" t="s">
        <v>27</v>
      </c>
      <c r="D182" t="s">
        <v>16</v>
      </c>
      <c r="E182" s="3">
        <v>68491.11</v>
      </c>
      <c r="F182">
        <v>11154</v>
      </c>
      <c r="G182" s="4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 s="3">
        <v>855341.28</v>
      </c>
      <c r="N182" s="3">
        <v>175823.8</v>
      </c>
      <c r="O182" s="8" t="s">
        <v>103</v>
      </c>
    </row>
    <row r="183" spans="1:15">
      <c r="A183" t="s">
        <v>67</v>
      </c>
      <c r="B183" s="2">
        <v>45689</v>
      </c>
      <c r="C183" t="s">
        <v>27</v>
      </c>
      <c r="D183" t="s">
        <v>16</v>
      </c>
      <c r="E183" s="3">
        <v>45209.25</v>
      </c>
      <c r="F183">
        <v>9287</v>
      </c>
      <c r="G183" s="4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 s="3">
        <v>751393.88</v>
      </c>
      <c r="N183" s="3">
        <v>91480.320000000007</v>
      </c>
      <c r="O183" s="8" t="s">
        <v>103</v>
      </c>
    </row>
    <row r="184" spans="1:15">
      <c r="A184" t="s">
        <v>67</v>
      </c>
      <c r="B184" s="2">
        <v>45717</v>
      </c>
      <c r="C184" t="s">
        <v>27</v>
      </c>
      <c r="D184" t="s">
        <v>16</v>
      </c>
      <c r="E184" s="3">
        <v>63010.23</v>
      </c>
      <c r="F184">
        <v>9812</v>
      </c>
      <c r="G184" s="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 s="3">
        <v>761077.08</v>
      </c>
      <c r="N184" s="3">
        <v>113605.93</v>
      </c>
      <c r="O184" s="8" t="s">
        <v>103</v>
      </c>
    </row>
    <row r="185" spans="1:15">
      <c r="A185" t="s">
        <v>67</v>
      </c>
      <c r="B185" s="2">
        <v>45748</v>
      </c>
      <c r="C185" t="s">
        <v>27</v>
      </c>
      <c r="D185" t="s">
        <v>16</v>
      </c>
      <c r="E185" s="3">
        <v>57948.88</v>
      </c>
      <c r="F185">
        <v>10741</v>
      </c>
      <c r="G185" s="4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 s="3">
        <v>819660.59</v>
      </c>
      <c r="N185" s="3">
        <v>172699.95</v>
      </c>
      <c r="O185" s="8" t="s">
        <v>103</v>
      </c>
    </row>
    <row r="186" spans="1:15">
      <c r="A186" t="s">
        <v>68</v>
      </c>
      <c r="B186" s="2">
        <v>45658</v>
      </c>
      <c r="C186" t="s">
        <v>20</v>
      </c>
      <c r="D186" t="s">
        <v>18</v>
      </c>
      <c r="E186" s="3">
        <v>71941.62</v>
      </c>
      <c r="F186">
        <v>6084</v>
      </c>
      <c r="G186" s="4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 s="3">
        <v>681855.56</v>
      </c>
      <c r="N186" s="3">
        <v>117645.61</v>
      </c>
      <c r="O186" s="8" t="s">
        <v>103</v>
      </c>
    </row>
    <row r="187" spans="1:15">
      <c r="A187" t="s">
        <v>68</v>
      </c>
      <c r="B187" s="2">
        <v>45689</v>
      </c>
      <c r="C187" t="s">
        <v>20</v>
      </c>
      <c r="D187" t="s">
        <v>18</v>
      </c>
      <c r="E187" s="3">
        <v>57147.88</v>
      </c>
      <c r="F187">
        <v>5252</v>
      </c>
      <c r="G187" s="4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 s="3">
        <v>678311.17</v>
      </c>
      <c r="N187" s="3">
        <v>132029.76000000001</v>
      </c>
      <c r="O187" s="8" t="s">
        <v>103</v>
      </c>
    </row>
    <row r="188" spans="1:15">
      <c r="A188" t="s">
        <v>68</v>
      </c>
      <c r="B188" s="2">
        <v>45717</v>
      </c>
      <c r="C188" t="s">
        <v>20</v>
      </c>
      <c r="D188" t="s">
        <v>18</v>
      </c>
      <c r="E188" s="3">
        <v>48031.74</v>
      </c>
      <c r="F188">
        <v>6516</v>
      </c>
      <c r="G188" s="4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 s="3">
        <v>765906.95</v>
      </c>
      <c r="N188" s="3">
        <v>114005.9</v>
      </c>
      <c r="O188" s="8" t="s">
        <v>103</v>
      </c>
    </row>
    <row r="189" spans="1:15">
      <c r="A189" t="s">
        <v>68</v>
      </c>
      <c r="B189" s="2">
        <v>45748</v>
      </c>
      <c r="C189" t="s">
        <v>20</v>
      </c>
      <c r="D189" t="s">
        <v>18</v>
      </c>
      <c r="E189" s="3">
        <v>72784.800000000003</v>
      </c>
      <c r="F189">
        <v>7932</v>
      </c>
      <c r="G189" s="4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 s="3">
        <v>712546.38</v>
      </c>
      <c r="N189" s="3">
        <v>101480.04</v>
      </c>
      <c r="O189" s="8" t="s">
        <v>103</v>
      </c>
    </row>
    <row r="190" spans="1:15">
      <c r="A190" t="s">
        <v>69</v>
      </c>
      <c r="B190" s="2">
        <v>45658</v>
      </c>
      <c r="C190" t="s">
        <v>15</v>
      </c>
      <c r="D190" t="s">
        <v>18</v>
      </c>
      <c r="E190" s="3">
        <v>71641.899999999994</v>
      </c>
      <c r="F190">
        <v>3506</v>
      </c>
      <c r="G190" s="4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 s="3">
        <v>625993.82999999996</v>
      </c>
      <c r="N190" s="3">
        <v>98960.320000000007</v>
      </c>
      <c r="O190" s="8" t="s">
        <v>103</v>
      </c>
    </row>
    <row r="191" spans="1:15">
      <c r="A191" t="s">
        <v>69</v>
      </c>
      <c r="B191" s="2">
        <v>45689</v>
      </c>
      <c r="C191" t="s">
        <v>15</v>
      </c>
      <c r="D191" t="s">
        <v>18</v>
      </c>
      <c r="E191" s="3">
        <v>55788.61</v>
      </c>
      <c r="F191">
        <v>2312</v>
      </c>
      <c r="G191" s="4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 s="3">
        <v>550962.93000000005</v>
      </c>
      <c r="N191" s="3">
        <v>97144.58</v>
      </c>
      <c r="O191" s="8" t="s">
        <v>103</v>
      </c>
    </row>
    <row r="192" spans="1:15">
      <c r="A192" t="s">
        <v>69</v>
      </c>
      <c r="B192" s="2">
        <v>45717</v>
      </c>
      <c r="C192" t="s">
        <v>15</v>
      </c>
      <c r="D192" t="s">
        <v>18</v>
      </c>
      <c r="E192" s="3">
        <v>37705.879999999997</v>
      </c>
      <c r="F192">
        <v>1268</v>
      </c>
      <c r="G192" s="4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 s="3">
        <v>443275.59</v>
      </c>
      <c r="N192" s="3">
        <v>53544.36</v>
      </c>
      <c r="O192" s="8" t="s">
        <v>103</v>
      </c>
    </row>
    <row r="193" spans="1:15">
      <c r="A193" t="s">
        <v>69</v>
      </c>
      <c r="B193" s="2">
        <v>45748</v>
      </c>
      <c r="C193" t="s">
        <v>15</v>
      </c>
      <c r="D193" t="s">
        <v>18</v>
      </c>
      <c r="E193" s="3">
        <v>54966.18</v>
      </c>
      <c r="F193">
        <v>4423</v>
      </c>
      <c r="G193" s="4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 s="3">
        <v>554012.06999999995</v>
      </c>
      <c r="N193" s="3">
        <v>81101.62</v>
      </c>
      <c r="O193" s="8" t="s">
        <v>103</v>
      </c>
    </row>
    <row r="194" spans="1:15">
      <c r="A194" t="s">
        <v>70</v>
      </c>
      <c r="B194" s="2">
        <v>45658</v>
      </c>
      <c r="C194" t="s">
        <v>27</v>
      </c>
      <c r="D194" t="s">
        <v>16</v>
      </c>
      <c r="E194" s="3">
        <v>81796.740000000005</v>
      </c>
      <c r="F194">
        <v>6177</v>
      </c>
      <c r="G194" s="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 s="3">
        <v>643428.85</v>
      </c>
      <c r="N194" s="3">
        <v>94477.63</v>
      </c>
      <c r="O194" s="8" t="s">
        <v>103</v>
      </c>
    </row>
    <row r="195" spans="1:15">
      <c r="A195" t="s">
        <v>70</v>
      </c>
      <c r="B195" s="2">
        <v>45689</v>
      </c>
      <c r="C195" t="s">
        <v>27</v>
      </c>
      <c r="D195" t="s">
        <v>16</v>
      </c>
      <c r="E195" s="3">
        <v>51133.43</v>
      </c>
      <c r="F195">
        <v>5150</v>
      </c>
      <c r="G195" s="4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 s="3">
        <v>611924.27</v>
      </c>
      <c r="N195" s="3">
        <v>115488.75</v>
      </c>
      <c r="O195" s="8" t="s">
        <v>103</v>
      </c>
    </row>
    <row r="196" spans="1:15">
      <c r="A196" t="s">
        <v>70</v>
      </c>
      <c r="B196" s="2">
        <v>45717</v>
      </c>
      <c r="C196" t="s">
        <v>27</v>
      </c>
      <c r="D196" t="s">
        <v>16</v>
      </c>
      <c r="E196" s="3">
        <v>40220.18</v>
      </c>
      <c r="F196">
        <v>3783</v>
      </c>
      <c r="G196" s="4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 s="3">
        <v>559422.02</v>
      </c>
      <c r="N196" s="3">
        <v>73528.740000000005</v>
      </c>
      <c r="O196" s="8" t="s">
        <v>103</v>
      </c>
    </row>
    <row r="197" spans="1:15">
      <c r="A197" t="s">
        <v>70</v>
      </c>
      <c r="B197" s="2">
        <v>45748</v>
      </c>
      <c r="C197" t="s">
        <v>27</v>
      </c>
      <c r="D197" t="s">
        <v>16</v>
      </c>
      <c r="E197" s="3">
        <v>41657.64</v>
      </c>
      <c r="F197">
        <v>3135</v>
      </c>
      <c r="G197" s="4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 s="3">
        <v>449465.06</v>
      </c>
      <c r="N197" s="3">
        <v>65694.78</v>
      </c>
      <c r="O197" s="8" t="s">
        <v>103</v>
      </c>
    </row>
    <row r="198" spans="1:15">
      <c r="A198" t="s">
        <v>71</v>
      </c>
      <c r="B198" s="2">
        <v>45658</v>
      </c>
      <c r="C198" t="s">
        <v>20</v>
      </c>
      <c r="D198" t="s">
        <v>16</v>
      </c>
      <c r="E198" s="3">
        <v>71851.45</v>
      </c>
      <c r="F198">
        <v>4970</v>
      </c>
      <c r="G198" s="4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 s="3">
        <v>691447.43</v>
      </c>
      <c r="N198" s="3">
        <v>114077.69</v>
      </c>
      <c r="O198" s="8" t="s">
        <v>103</v>
      </c>
    </row>
    <row r="199" spans="1:15">
      <c r="A199" t="s">
        <v>71</v>
      </c>
      <c r="B199" s="2">
        <v>45689</v>
      </c>
      <c r="C199" t="s">
        <v>20</v>
      </c>
      <c r="D199" t="s">
        <v>16</v>
      </c>
      <c r="E199" s="3">
        <v>54002.83</v>
      </c>
      <c r="F199">
        <v>4366</v>
      </c>
      <c r="G199" s="4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 s="3">
        <v>574066.61</v>
      </c>
      <c r="N199" s="3">
        <v>124674.67</v>
      </c>
      <c r="O199" s="8" t="s">
        <v>103</v>
      </c>
    </row>
    <row r="200" spans="1:15">
      <c r="A200" t="s">
        <v>71</v>
      </c>
      <c r="B200" s="2">
        <v>45717</v>
      </c>
      <c r="C200" t="s">
        <v>20</v>
      </c>
      <c r="D200" t="s">
        <v>16</v>
      </c>
      <c r="E200" s="3">
        <v>54479.33</v>
      </c>
      <c r="F200">
        <v>5012</v>
      </c>
      <c r="G200" s="4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 s="3">
        <v>578949.84</v>
      </c>
      <c r="N200" s="3">
        <v>80253.649999999994</v>
      </c>
      <c r="O200" s="8" t="s">
        <v>103</v>
      </c>
    </row>
    <row r="201" spans="1:15">
      <c r="A201" t="s">
        <v>71</v>
      </c>
      <c r="B201" s="2">
        <v>45748</v>
      </c>
      <c r="C201" t="s">
        <v>20</v>
      </c>
      <c r="D201" t="s">
        <v>16</v>
      </c>
      <c r="E201" s="3">
        <v>61391.8</v>
      </c>
      <c r="F201">
        <v>5575</v>
      </c>
      <c r="G201" s="4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 s="3">
        <v>735786.64</v>
      </c>
      <c r="N201" s="3">
        <v>126540.66</v>
      </c>
      <c r="O201" s="8" t="s">
        <v>103</v>
      </c>
    </row>
    <row r="202" spans="1:15">
      <c r="A202" t="s">
        <v>72</v>
      </c>
      <c r="B202" s="2">
        <v>45658</v>
      </c>
      <c r="C202" t="s">
        <v>15</v>
      </c>
      <c r="D202" t="s">
        <v>21</v>
      </c>
      <c r="E202" s="3">
        <v>22312.93</v>
      </c>
      <c r="F202">
        <v>5955</v>
      </c>
      <c r="G202" s="4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 s="3">
        <v>598904.9</v>
      </c>
      <c r="N202" s="3">
        <v>72861</v>
      </c>
      <c r="O202" s="8" t="s">
        <v>103</v>
      </c>
    </row>
    <row r="203" spans="1:15">
      <c r="A203" t="s">
        <v>72</v>
      </c>
      <c r="B203" s="2">
        <v>45689</v>
      </c>
      <c r="C203" t="s">
        <v>15</v>
      </c>
      <c r="D203" t="s">
        <v>21</v>
      </c>
      <c r="E203" s="3">
        <v>78111.97</v>
      </c>
      <c r="F203">
        <v>6389</v>
      </c>
      <c r="G203" s="4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 s="3">
        <v>787715.51</v>
      </c>
      <c r="N203" s="3">
        <v>128969.62</v>
      </c>
      <c r="O203" s="8" t="s">
        <v>103</v>
      </c>
    </row>
    <row r="204" spans="1:15">
      <c r="A204" t="s">
        <v>72</v>
      </c>
      <c r="B204" s="2">
        <v>45717</v>
      </c>
      <c r="C204" t="s">
        <v>15</v>
      </c>
      <c r="D204" t="s">
        <v>21</v>
      </c>
      <c r="E204" s="3">
        <v>35203.230000000003</v>
      </c>
      <c r="F204">
        <v>6896</v>
      </c>
      <c r="G204" s="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 s="3">
        <v>607084.92000000004</v>
      </c>
      <c r="N204" s="3">
        <v>98558.49</v>
      </c>
      <c r="O204" s="8" t="s">
        <v>103</v>
      </c>
    </row>
    <row r="205" spans="1:15">
      <c r="A205" t="s">
        <v>72</v>
      </c>
      <c r="B205" s="2">
        <v>45748</v>
      </c>
      <c r="C205" t="s">
        <v>15</v>
      </c>
      <c r="D205" t="s">
        <v>21</v>
      </c>
      <c r="E205" s="3">
        <v>64104.28</v>
      </c>
      <c r="F205">
        <v>6015</v>
      </c>
      <c r="G205" s="4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 s="3">
        <v>650795.49</v>
      </c>
      <c r="N205" s="3">
        <v>103035.89</v>
      </c>
      <c r="O205" s="8" t="s">
        <v>103</v>
      </c>
    </row>
    <row r="206" spans="1:15">
      <c r="A206" t="s">
        <v>73</v>
      </c>
      <c r="B206" s="2">
        <v>45658</v>
      </c>
      <c r="C206" t="s">
        <v>15</v>
      </c>
      <c r="D206" t="s">
        <v>28</v>
      </c>
      <c r="E206" s="3">
        <v>92090.14</v>
      </c>
      <c r="F206">
        <v>9476</v>
      </c>
      <c r="G206" s="4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 s="3">
        <v>825060.52</v>
      </c>
      <c r="N206" s="3">
        <v>143613.15</v>
      </c>
      <c r="O206" s="8" t="s">
        <v>103</v>
      </c>
    </row>
    <row r="207" spans="1:15">
      <c r="A207" t="s">
        <v>73</v>
      </c>
      <c r="B207" s="2">
        <v>45689</v>
      </c>
      <c r="C207" t="s">
        <v>15</v>
      </c>
      <c r="D207" t="s">
        <v>28</v>
      </c>
      <c r="E207" s="3">
        <v>54300.87</v>
      </c>
      <c r="F207">
        <v>7875</v>
      </c>
      <c r="G207" s="4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 s="3">
        <v>795464.47</v>
      </c>
      <c r="N207" s="3">
        <v>161150.51999999999</v>
      </c>
      <c r="O207" s="8" t="s">
        <v>103</v>
      </c>
    </row>
    <row r="208" spans="1:15">
      <c r="A208" t="s">
        <v>73</v>
      </c>
      <c r="B208" s="2">
        <v>45717</v>
      </c>
      <c r="C208" t="s">
        <v>15</v>
      </c>
      <c r="D208" t="s">
        <v>28</v>
      </c>
      <c r="E208" s="3">
        <v>37983.35</v>
      </c>
      <c r="F208">
        <v>9283</v>
      </c>
      <c r="G208" s="4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 s="3">
        <v>671868.59</v>
      </c>
      <c r="N208" s="3">
        <v>71003.28</v>
      </c>
      <c r="O208" s="8" t="s">
        <v>103</v>
      </c>
    </row>
    <row r="209" spans="1:15">
      <c r="A209" t="s">
        <v>73</v>
      </c>
      <c r="B209" s="2">
        <v>45748</v>
      </c>
      <c r="C209" t="s">
        <v>15</v>
      </c>
      <c r="D209" t="s">
        <v>28</v>
      </c>
      <c r="E209" s="3">
        <v>56413.83</v>
      </c>
      <c r="F209">
        <v>8303</v>
      </c>
      <c r="G209" s="4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 s="3">
        <v>675917.63</v>
      </c>
      <c r="N209" s="3">
        <v>112564.75</v>
      </c>
      <c r="O209" s="8" t="s">
        <v>103</v>
      </c>
    </row>
    <row r="210" spans="1:15">
      <c r="A210" t="s">
        <v>74</v>
      </c>
      <c r="B210" s="2">
        <v>45658</v>
      </c>
      <c r="C210" t="s">
        <v>15</v>
      </c>
      <c r="D210" t="s">
        <v>18</v>
      </c>
      <c r="E210" s="3">
        <v>63457.19</v>
      </c>
      <c r="F210">
        <v>10125</v>
      </c>
      <c r="G210" s="4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 s="3">
        <v>810446.53</v>
      </c>
      <c r="N210" s="3">
        <v>200575.34</v>
      </c>
      <c r="O210" s="8" t="s">
        <v>103</v>
      </c>
    </row>
    <row r="211" spans="1:15">
      <c r="A211" t="s">
        <v>74</v>
      </c>
      <c r="B211" s="2">
        <v>45689</v>
      </c>
      <c r="C211" t="s">
        <v>15</v>
      </c>
      <c r="D211" t="s">
        <v>18</v>
      </c>
      <c r="E211" s="3">
        <v>62949.7</v>
      </c>
      <c r="F211">
        <v>9458</v>
      </c>
      <c r="G211" s="4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 s="3">
        <v>691288.19</v>
      </c>
      <c r="N211" s="3">
        <v>159074.14000000001</v>
      </c>
      <c r="O211" s="8" t="s">
        <v>103</v>
      </c>
    </row>
    <row r="212" spans="1:15">
      <c r="A212" t="s">
        <v>74</v>
      </c>
      <c r="B212" s="2">
        <v>45717</v>
      </c>
      <c r="C212" t="s">
        <v>15</v>
      </c>
      <c r="D212" t="s">
        <v>18</v>
      </c>
      <c r="E212" s="3">
        <v>107970.19</v>
      </c>
      <c r="F212">
        <v>12870</v>
      </c>
      <c r="G212" s="4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 s="3">
        <v>946833.54</v>
      </c>
      <c r="N212" s="3">
        <v>184540.31</v>
      </c>
      <c r="O212" s="8" t="s">
        <v>103</v>
      </c>
    </row>
    <row r="213" spans="1:15">
      <c r="A213" t="s">
        <v>74</v>
      </c>
      <c r="B213" s="2">
        <v>45748</v>
      </c>
      <c r="C213" t="s">
        <v>15</v>
      </c>
      <c r="D213" t="s">
        <v>18</v>
      </c>
      <c r="E213" s="3">
        <v>49405.75</v>
      </c>
      <c r="F213">
        <v>9752</v>
      </c>
      <c r="G213" s="4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 s="3">
        <v>761963.23</v>
      </c>
      <c r="N213" s="3">
        <v>150113.60999999999</v>
      </c>
      <c r="O213" s="8" t="s">
        <v>103</v>
      </c>
    </row>
    <row r="214" spans="1:15">
      <c r="A214" t="s">
        <v>75</v>
      </c>
      <c r="B214" s="2">
        <v>45658</v>
      </c>
      <c r="C214" t="s">
        <v>27</v>
      </c>
      <c r="D214" t="s">
        <v>16</v>
      </c>
      <c r="E214" s="3">
        <v>50887.46</v>
      </c>
      <c r="F214">
        <v>9505</v>
      </c>
      <c r="G214" s="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 s="3">
        <v>812152.6</v>
      </c>
      <c r="N214" s="3">
        <v>138419.43</v>
      </c>
      <c r="O214" s="8" t="s">
        <v>103</v>
      </c>
    </row>
    <row r="215" spans="1:15">
      <c r="A215" t="s">
        <v>75</v>
      </c>
      <c r="B215" s="2">
        <v>45689</v>
      </c>
      <c r="C215" t="s">
        <v>27</v>
      </c>
      <c r="D215" t="s">
        <v>16</v>
      </c>
      <c r="E215" s="3">
        <v>41819.449999999997</v>
      </c>
      <c r="F215">
        <v>9412</v>
      </c>
      <c r="G215" s="4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 s="3">
        <v>804975.5</v>
      </c>
      <c r="N215" s="3">
        <v>140054.5</v>
      </c>
      <c r="O215" s="8" t="s">
        <v>103</v>
      </c>
    </row>
    <row r="216" spans="1:15">
      <c r="A216" t="s">
        <v>75</v>
      </c>
      <c r="B216" s="2">
        <v>45717</v>
      </c>
      <c r="C216" t="s">
        <v>27</v>
      </c>
      <c r="D216" t="s">
        <v>16</v>
      </c>
      <c r="E216" s="3">
        <v>35296.54</v>
      </c>
      <c r="F216">
        <v>9644</v>
      </c>
      <c r="G216" s="4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 s="3">
        <v>752321.72</v>
      </c>
      <c r="N216" s="3">
        <v>137788.51</v>
      </c>
      <c r="O216" s="8" t="s">
        <v>103</v>
      </c>
    </row>
    <row r="217" spans="1:15">
      <c r="A217" t="s">
        <v>75</v>
      </c>
      <c r="B217" s="2">
        <v>45748</v>
      </c>
      <c r="C217" t="s">
        <v>27</v>
      </c>
      <c r="D217" t="s">
        <v>16</v>
      </c>
      <c r="E217" s="3">
        <v>47391.09</v>
      </c>
      <c r="F217">
        <v>11224</v>
      </c>
      <c r="G217" s="4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 s="3">
        <v>836908.24</v>
      </c>
      <c r="N217" s="3">
        <v>141090.26</v>
      </c>
      <c r="O217" s="8" t="s">
        <v>103</v>
      </c>
    </row>
    <row r="218" spans="1:15">
      <c r="A218" t="s">
        <v>76</v>
      </c>
      <c r="B218" s="2">
        <v>45658</v>
      </c>
      <c r="C218" t="s">
        <v>20</v>
      </c>
      <c r="D218" t="s">
        <v>21</v>
      </c>
      <c r="E218" s="3">
        <v>69180.539999999994</v>
      </c>
      <c r="F218">
        <v>5394</v>
      </c>
      <c r="G218" s="4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 s="3">
        <v>674289.1</v>
      </c>
      <c r="N218" s="3">
        <v>117773.79</v>
      </c>
      <c r="O218" s="8" t="s">
        <v>103</v>
      </c>
    </row>
    <row r="219" spans="1:15">
      <c r="A219" t="s">
        <v>76</v>
      </c>
      <c r="B219" s="2">
        <v>45689</v>
      </c>
      <c r="C219" t="s">
        <v>20</v>
      </c>
      <c r="D219" t="s">
        <v>21</v>
      </c>
      <c r="E219" s="3">
        <v>33987.33</v>
      </c>
      <c r="F219">
        <v>5014</v>
      </c>
      <c r="G219" s="4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 s="3">
        <v>622892.42000000004</v>
      </c>
      <c r="N219" s="3">
        <v>101032.52</v>
      </c>
      <c r="O219" s="8" t="s">
        <v>103</v>
      </c>
    </row>
    <row r="220" spans="1:15">
      <c r="A220" t="s">
        <v>76</v>
      </c>
      <c r="B220" s="2">
        <v>45717</v>
      </c>
      <c r="C220" t="s">
        <v>20</v>
      </c>
      <c r="D220" t="s">
        <v>21</v>
      </c>
      <c r="E220" s="3">
        <v>58785.33</v>
      </c>
      <c r="F220">
        <v>4467</v>
      </c>
      <c r="G220" s="4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 s="3">
        <v>673348.56</v>
      </c>
      <c r="N220" s="3">
        <v>69464.59</v>
      </c>
      <c r="O220" s="8" t="s">
        <v>103</v>
      </c>
    </row>
    <row r="221" spans="1:15">
      <c r="A221" t="s">
        <v>76</v>
      </c>
      <c r="B221" s="2">
        <v>45748</v>
      </c>
      <c r="C221" t="s">
        <v>20</v>
      </c>
      <c r="D221" t="s">
        <v>21</v>
      </c>
      <c r="E221" s="3">
        <v>16451.849999999999</v>
      </c>
      <c r="F221">
        <v>4678</v>
      </c>
      <c r="G221" s="4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 s="3">
        <v>606278.30000000005</v>
      </c>
      <c r="N221" s="3">
        <v>102213.26</v>
      </c>
      <c r="O221" s="8" t="s">
        <v>103</v>
      </c>
    </row>
    <row r="222" spans="1:15">
      <c r="A222" t="s">
        <v>77</v>
      </c>
      <c r="B222" s="2">
        <v>45658</v>
      </c>
      <c r="C222" t="s">
        <v>15</v>
      </c>
      <c r="D222" t="s">
        <v>18</v>
      </c>
      <c r="E222" s="3">
        <v>53367.73</v>
      </c>
      <c r="F222">
        <v>7291</v>
      </c>
      <c r="G222" s="4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 s="3">
        <v>712219.81</v>
      </c>
      <c r="N222" s="3">
        <v>85906.54</v>
      </c>
      <c r="O222" s="8" t="s">
        <v>103</v>
      </c>
    </row>
    <row r="223" spans="1:15">
      <c r="A223" t="s">
        <v>77</v>
      </c>
      <c r="B223" s="2">
        <v>45689</v>
      </c>
      <c r="C223" t="s">
        <v>15</v>
      </c>
      <c r="D223" t="s">
        <v>18</v>
      </c>
      <c r="E223" s="3">
        <v>27194.639999999999</v>
      </c>
      <c r="F223">
        <v>7404</v>
      </c>
      <c r="G223" s="4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 s="3">
        <v>672670.54</v>
      </c>
      <c r="N223" s="3">
        <v>132684.18</v>
      </c>
      <c r="O223" s="8" t="s">
        <v>103</v>
      </c>
    </row>
    <row r="224" spans="1:15">
      <c r="A224" t="s">
        <v>77</v>
      </c>
      <c r="B224" s="2">
        <v>45717</v>
      </c>
      <c r="C224" t="s">
        <v>15</v>
      </c>
      <c r="D224" t="s">
        <v>18</v>
      </c>
      <c r="E224" s="3">
        <v>66962.740000000005</v>
      </c>
      <c r="F224">
        <v>7880</v>
      </c>
      <c r="G224" s="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 s="3">
        <v>732667.92</v>
      </c>
      <c r="N224" s="3">
        <v>128654.46</v>
      </c>
      <c r="O224" s="8" t="s">
        <v>103</v>
      </c>
    </row>
    <row r="225" spans="1:15">
      <c r="A225" t="s">
        <v>77</v>
      </c>
      <c r="B225" s="2">
        <v>45748</v>
      </c>
      <c r="C225" t="s">
        <v>15</v>
      </c>
      <c r="D225" t="s">
        <v>18</v>
      </c>
      <c r="E225" s="3">
        <v>73540.990000000005</v>
      </c>
      <c r="F225">
        <v>8773</v>
      </c>
      <c r="G225" s="4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 s="3">
        <v>723531.4</v>
      </c>
      <c r="N225" s="3">
        <v>108794.85</v>
      </c>
      <c r="O225" s="8" t="s">
        <v>103</v>
      </c>
    </row>
    <row r="226" spans="1:15">
      <c r="A226" t="s">
        <v>78</v>
      </c>
      <c r="B226" s="2">
        <v>45658</v>
      </c>
      <c r="C226" t="s">
        <v>15</v>
      </c>
      <c r="D226" t="s">
        <v>28</v>
      </c>
      <c r="E226" s="3">
        <v>68212.289999999994</v>
      </c>
      <c r="F226">
        <v>4713</v>
      </c>
      <c r="G226" s="4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 s="3">
        <v>641564.6</v>
      </c>
      <c r="N226" s="3">
        <v>90468.96</v>
      </c>
      <c r="O226" s="8" t="s">
        <v>103</v>
      </c>
    </row>
    <row r="227" spans="1:15">
      <c r="A227" t="s">
        <v>78</v>
      </c>
      <c r="B227" s="2">
        <v>45689</v>
      </c>
      <c r="C227" t="s">
        <v>15</v>
      </c>
      <c r="D227" t="s">
        <v>28</v>
      </c>
      <c r="E227" s="3">
        <v>57225.98</v>
      </c>
      <c r="F227">
        <v>2842</v>
      </c>
      <c r="G227" s="4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 s="3">
        <v>536545.49</v>
      </c>
      <c r="N227" s="3">
        <v>97917.45</v>
      </c>
      <c r="O227" s="8" t="s">
        <v>103</v>
      </c>
    </row>
    <row r="228" spans="1:15">
      <c r="A228" t="s">
        <v>78</v>
      </c>
      <c r="B228" s="2">
        <v>45717</v>
      </c>
      <c r="C228" t="s">
        <v>15</v>
      </c>
      <c r="D228" t="s">
        <v>28</v>
      </c>
      <c r="E228" s="3">
        <v>42932.02</v>
      </c>
      <c r="F228">
        <v>3872</v>
      </c>
      <c r="G228" s="4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 s="3">
        <v>527681.56000000006</v>
      </c>
      <c r="N228" s="3">
        <v>63153.05</v>
      </c>
      <c r="O228" s="8" t="s">
        <v>103</v>
      </c>
    </row>
    <row r="229" spans="1:15">
      <c r="A229" t="s">
        <v>78</v>
      </c>
      <c r="B229" s="2">
        <v>45748</v>
      </c>
      <c r="C229" t="s">
        <v>15</v>
      </c>
      <c r="D229" t="s">
        <v>28</v>
      </c>
      <c r="E229" s="3">
        <v>39341.449999999997</v>
      </c>
      <c r="F229">
        <v>1375</v>
      </c>
      <c r="G229" s="4">
        <v>9.2999999999999999E-2</v>
      </c>
      <c r="H229">
        <v>5</v>
      </c>
      <c r="I229">
        <v>95</v>
      </c>
      <c r="J229">
        <v>5.32</v>
      </c>
      <c r="K229">
        <v>0</v>
      </c>
      <c r="L229">
        <v>3.9</v>
      </c>
      <c r="M229" s="3">
        <v>529598.93999999994</v>
      </c>
      <c r="N229" s="3">
        <v>84334.33</v>
      </c>
      <c r="O229" s="8" t="s">
        <v>103</v>
      </c>
    </row>
    <row r="230" spans="1:15">
      <c r="A230" t="s">
        <v>79</v>
      </c>
      <c r="B230" s="2">
        <v>45658</v>
      </c>
      <c r="C230" t="s">
        <v>15</v>
      </c>
      <c r="D230" t="s">
        <v>18</v>
      </c>
      <c r="E230" s="3">
        <v>37324.230000000003</v>
      </c>
      <c r="F230">
        <v>5957</v>
      </c>
      <c r="G230" s="4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 s="3">
        <v>570963.31000000006</v>
      </c>
      <c r="N230" s="3">
        <v>87342.25</v>
      </c>
      <c r="O230" s="8" t="s">
        <v>103</v>
      </c>
    </row>
    <row r="231" spans="1:15">
      <c r="A231" t="s">
        <v>79</v>
      </c>
      <c r="B231" s="2">
        <v>45689</v>
      </c>
      <c r="C231" t="s">
        <v>15</v>
      </c>
      <c r="D231" t="s">
        <v>18</v>
      </c>
      <c r="E231" s="3">
        <v>113736</v>
      </c>
      <c r="F231">
        <v>8961</v>
      </c>
      <c r="G231" s="4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 s="3">
        <v>870937.4</v>
      </c>
      <c r="N231" s="3">
        <v>175282.74</v>
      </c>
      <c r="O231" s="8" t="s">
        <v>103</v>
      </c>
    </row>
    <row r="232" spans="1:15">
      <c r="A232" t="s">
        <v>79</v>
      </c>
      <c r="B232" s="2">
        <v>45717</v>
      </c>
      <c r="C232" t="s">
        <v>15</v>
      </c>
      <c r="D232" t="s">
        <v>18</v>
      </c>
      <c r="E232" s="3">
        <v>33173.949999999997</v>
      </c>
      <c r="F232">
        <v>6545</v>
      </c>
      <c r="G232" s="4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 s="3">
        <v>596969.27</v>
      </c>
      <c r="N232" s="3">
        <v>105669.51</v>
      </c>
      <c r="O232" s="8" t="s">
        <v>103</v>
      </c>
    </row>
    <row r="233" spans="1:15">
      <c r="A233" t="s">
        <v>79</v>
      </c>
      <c r="B233" s="2">
        <v>45748</v>
      </c>
      <c r="C233" t="s">
        <v>15</v>
      </c>
      <c r="D233" t="s">
        <v>18</v>
      </c>
      <c r="E233" s="3">
        <v>25818.080000000002</v>
      </c>
      <c r="F233">
        <v>5457</v>
      </c>
      <c r="G233" s="4">
        <v>0</v>
      </c>
      <c r="H233">
        <v>11</v>
      </c>
      <c r="I233">
        <v>95.4</v>
      </c>
      <c r="J233">
        <v>3.3650000000000002</v>
      </c>
      <c r="K233">
        <v>0</v>
      </c>
      <c r="L233">
        <v>3.7</v>
      </c>
      <c r="M233" s="3">
        <v>647512.85</v>
      </c>
      <c r="N233" s="3">
        <v>153835.57</v>
      </c>
      <c r="O233" s="8" t="s">
        <v>103</v>
      </c>
    </row>
    <row r="234" spans="1:15">
      <c r="A234" t="s">
        <v>80</v>
      </c>
      <c r="B234" s="2">
        <v>45658</v>
      </c>
      <c r="C234" t="s">
        <v>27</v>
      </c>
      <c r="D234" t="s">
        <v>16</v>
      </c>
      <c r="E234" s="3">
        <v>47241.919999999998</v>
      </c>
      <c r="F234">
        <v>4264</v>
      </c>
      <c r="G234" s="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 s="3">
        <v>658072.14</v>
      </c>
      <c r="N234" s="3">
        <v>110595.89</v>
      </c>
      <c r="O234" s="8" t="s">
        <v>103</v>
      </c>
    </row>
    <row r="235" spans="1:15">
      <c r="A235" t="s">
        <v>80</v>
      </c>
      <c r="B235" s="2">
        <v>45689</v>
      </c>
      <c r="C235" t="s">
        <v>27</v>
      </c>
      <c r="D235" t="s">
        <v>16</v>
      </c>
      <c r="E235" s="3">
        <v>61650.79</v>
      </c>
      <c r="F235">
        <v>5321</v>
      </c>
      <c r="G235" s="4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 s="3">
        <v>723305.11</v>
      </c>
      <c r="N235" s="3">
        <v>128468.7</v>
      </c>
      <c r="O235" s="8" t="s">
        <v>103</v>
      </c>
    </row>
    <row r="236" spans="1:15">
      <c r="A236" t="s">
        <v>80</v>
      </c>
      <c r="B236" s="2">
        <v>45717</v>
      </c>
      <c r="C236" t="s">
        <v>27</v>
      </c>
      <c r="D236" t="s">
        <v>16</v>
      </c>
      <c r="E236" s="3">
        <v>62582.71</v>
      </c>
      <c r="F236">
        <v>5479</v>
      </c>
      <c r="G236" s="4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 s="3">
        <v>640666.53</v>
      </c>
      <c r="N236" s="3">
        <v>134919.16</v>
      </c>
      <c r="O236" s="8" t="s">
        <v>103</v>
      </c>
    </row>
    <row r="237" spans="1:15">
      <c r="A237" t="s">
        <v>80</v>
      </c>
      <c r="B237" s="2">
        <v>45748</v>
      </c>
      <c r="C237" t="s">
        <v>27</v>
      </c>
      <c r="D237" t="s">
        <v>16</v>
      </c>
      <c r="E237" s="3">
        <v>47944.14</v>
      </c>
      <c r="F237">
        <v>6169</v>
      </c>
      <c r="G237" s="4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 s="3">
        <v>670629.48</v>
      </c>
      <c r="N237" s="3">
        <v>100140.8</v>
      </c>
      <c r="O237" s="8" t="s">
        <v>103</v>
      </c>
    </row>
    <row r="238" spans="1:15">
      <c r="A238" t="s">
        <v>81</v>
      </c>
      <c r="B238" s="2">
        <v>45658</v>
      </c>
      <c r="C238" t="s">
        <v>27</v>
      </c>
      <c r="D238" t="s">
        <v>28</v>
      </c>
      <c r="E238" s="3">
        <v>46495.4</v>
      </c>
      <c r="F238">
        <v>9908</v>
      </c>
      <c r="G238" s="4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 s="3">
        <v>721079.35</v>
      </c>
      <c r="N238" s="3">
        <v>115295.05</v>
      </c>
      <c r="O238" s="8" t="s">
        <v>103</v>
      </c>
    </row>
    <row r="239" spans="1:15">
      <c r="A239" t="s">
        <v>81</v>
      </c>
      <c r="B239" s="2">
        <v>45689</v>
      </c>
      <c r="C239" t="s">
        <v>27</v>
      </c>
      <c r="D239" t="s">
        <v>28</v>
      </c>
      <c r="E239" s="3">
        <v>72961.95</v>
      </c>
      <c r="F239">
        <v>9996</v>
      </c>
      <c r="G239" s="4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 s="3">
        <v>810355.02</v>
      </c>
      <c r="N239" s="3">
        <v>131510</v>
      </c>
      <c r="O239" s="8" t="s">
        <v>103</v>
      </c>
    </row>
    <row r="240" spans="1:15">
      <c r="A240" t="s">
        <v>81</v>
      </c>
      <c r="B240" s="2">
        <v>45717</v>
      </c>
      <c r="C240" t="s">
        <v>27</v>
      </c>
      <c r="D240" t="s">
        <v>28</v>
      </c>
      <c r="E240" s="3">
        <v>59060.05</v>
      </c>
      <c r="F240">
        <v>9702</v>
      </c>
      <c r="G240" s="4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 s="3">
        <v>761919.25</v>
      </c>
      <c r="N240" s="3">
        <v>111893.06</v>
      </c>
      <c r="O240" s="8" t="s">
        <v>103</v>
      </c>
    </row>
    <row r="241" spans="1:15">
      <c r="A241" t="s">
        <v>81</v>
      </c>
      <c r="B241" s="2">
        <v>45748</v>
      </c>
      <c r="C241" t="s">
        <v>27</v>
      </c>
      <c r="D241" t="s">
        <v>28</v>
      </c>
      <c r="E241" s="3">
        <v>26248.1</v>
      </c>
      <c r="F241">
        <v>9314</v>
      </c>
      <c r="G241" s="4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 s="3">
        <v>737070.18</v>
      </c>
      <c r="N241" s="3">
        <v>117593.97</v>
      </c>
      <c r="O241" s="8" t="s">
        <v>103</v>
      </c>
    </row>
    <row r="242" spans="1:15">
      <c r="A242" t="s">
        <v>82</v>
      </c>
      <c r="B242" s="2">
        <v>45658</v>
      </c>
      <c r="C242" t="s">
        <v>24</v>
      </c>
      <c r="D242" t="s">
        <v>21</v>
      </c>
      <c r="E242" s="3">
        <v>69900.12</v>
      </c>
      <c r="F242">
        <v>8055</v>
      </c>
      <c r="G242" s="4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 s="3">
        <v>776992.93</v>
      </c>
      <c r="N242" s="3">
        <v>101598.32</v>
      </c>
      <c r="O242" s="8" t="s">
        <v>103</v>
      </c>
    </row>
    <row r="243" spans="1:15">
      <c r="A243" t="s">
        <v>82</v>
      </c>
      <c r="B243" s="2">
        <v>45689</v>
      </c>
      <c r="C243" t="s">
        <v>24</v>
      </c>
      <c r="D243" t="s">
        <v>21</v>
      </c>
      <c r="E243" s="3">
        <v>51781.599999999999</v>
      </c>
      <c r="F243">
        <v>5648</v>
      </c>
      <c r="G243" s="4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 s="3">
        <v>676337.41</v>
      </c>
      <c r="N243" s="3">
        <v>104355.77</v>
      </c>
      <c r="O243" s="8" t="s">
        <v>103</v>
      </c>
    </row>
    <row r="244" spans="1:15">
      <c r="A244" t="s">
        <v>82</v>
      </c>
      <c r="B244" s="2">
        <v>45717</v>
      </c>
      <c r="C244" t="s">
        <v>24</v>
      </c>
      <c r="D244" t="s">
        <v>21</v>
      </c>
      <c r="E244" s="3">
        <v>70799.64</v>
      </c>
      <c r="F244">
        <v>10076</v>
      </c>
      <c r="G244" s="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 s="3">
        <v>828219.67</v>
      </c>
      <c r="N244" s="3">
        <v>179806.87</v>
      </c>
      <c r="O244" s="8" t="s">
        <v>103</v>
      </c>
    </row>
    <row r="245" spans="1:15">
      <c r="A245" t="s">
        <v>82</v>
      </c>
      <c r="B245" s="2">
        <v>45748</v>
      </c>
      <c r="C245" t="s">
        <v>24</v>
      </c>
      <c r="D245" t="s">
        <v>21</v>
      </c>
      <c r="E245" s="3">
        <v>53546.34</v>
      </c>
      <c r="F245">
        <v>8004</v>
      </c>
      <c r="G245" s="4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 s="3">
        <v>763159.92</v>
      </c>
      <c r="N245" s="3">
        <v>177104.87</v>
      </c>
      <c r="O245" s="8" t="s">
        <v>103</v>
      </c>
    </row>
    <row r="246" spans="1:15">
      <c r="A246" t="s">
        <v>83</v>
      </c>
      <c r="B246" s="2">
        <v>45658</v>
      </c>
      <c r="C246" t="s">
        <v>15</v>
      </c>
      <c r="D246" t="s">
        <v>18</v>
      </c>
      <c r="E246" s="3">
        <v>76942.2</v>
      </c>
      <c r="F246">
        <v>8934</v>
      </c>
      <c r="G246" s="4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 s="3">
        <v>802001.68</v>
      </c>
      <c r="N246" s="3">
        <v>159715.82</v>
      </c>
      <c r="O246" s="8" t="s">
        <v>103</v>
      </c>
    </row>
    <row r="247" spans="1:15">
      <c r="A247" t="s">
        <v>83</v>
      </c>
      <c r="B247" s="2">
        <v>45689</v>
      </c>
      <c r="C247" t="s">
        <v>15</v>
      </c>
      <c r="D247" t="s">
        <v>18</v>
      </c>
      <c r="E247" s="3">
        <v>48060.78</v>
      </c>
      <c r="F247">
        <v>8733</v>
      </c>
      <c r="G247" s="4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 s="3">
        <v>750471.34</v>
      </c>
      <c r="N247" s="3">
        <v>133788.04</v>
      </c>
      <c r="O247" s="8" t="s">
        <v>103</v>
      </c>
    </row>
    <row r="248" spans="1:15">
      <c r="A248" t="s">
        <v>83</v>
      </c>
      <c r="B248" s="2">
        <v>45717</v>
      </c>
      <c r="C248" t="s">
        <v>15</v>
      </c>
      <c r="D248" t="s">
        <v>18</v>
      </c>
      <c r="E248" s="3">
        <v>57390.04</v>
      </c>
      <c r="F248">
        <v>7374</v>
      </c>
      <c r="G248" s="4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 s="3">
        <v>679230.86</v>
      </c>
      <c r="N248" s="3">
        <v>106927.58</v>
      </c>
      <c r="O248" s="8" t="s">
        <v>103</v>
      </c>
    </row>
    <row r="249" spans="1:15">
      <c r="A249" t="s">
        <v>83</v>
      </c>
      <c r="B249" s="2">
        <v>45748</v>
      </c>
      <c r="C249" t="s">
        <v>15</v>
      </c>
      <c r="D249" t="s">
        <v>18</v>
      </c>
      <c r="E249" s="3">
        <v>21536.18</v>
      </c>
      <c r="F249">
        <v>8119</v>
      </c>
      <c r="G249" s="4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 s="3">
        <v>679888.74</v>
      </c>
      <c r="N249" s="3">
        <v>83406.89</v>
      </c>
      <c r="O249" s="8" t="s">
        <v>103</v>
      </c>
    </row>
    <row r="250" spans="1:15">
      <c r="A250" t="s">
        <v>84</v>
      </c>
      <c r="B250" s="2">
        <v>45658</v>
      </c>
      <c r="C250" t="s">
        <v>20</v>
      </c>
      <c r="D250" t="s">
        <v>18</v>
      </c>
      <c r="E250" s="3">
        <v>40923.67</v>
      </c>
      <c r="F250">
        <v>3875</v>
      </c>
      <c r="G250" s="4">
        <v>0.15</v>
      </c>
      <c r="H250">
        <v>10</v>
      </c>
      <c r="I250">
        <v>96.1</v>
      </c>
      <c r="J250">
        <v>3.3650000000000002</v>
      </c>
      <c r="K250">
        <v>0</v>
      </c>
      <c r="L250">
        <v>3.8</v>
      </c>
      <c r="M250" s="3">
        <v>606783.67000000004</v>
      </c>
      <c r="N250" s="3">
        <v>74515.87</v>
      </c>
      <c r="O250" s="8" t="s">
        <v>103</v>
      </c>
    </row>
    <row r="251" spans="1:15">
      <c r="A251" t="s">
        <v>84</v>
      </c>
      <c r="B251" s="2">
        <v>45689</v>
      </c>
      <c r="C251" t="s">
        <v>20</v>
      </c>
      <c r="D251" t="s">
        <v>18</v>
      </c>
      <c r="E251" s="3">
        <v>72932.55</v>
      </c>
      <c r="F251">
        <v>5765</v>
      </c>
      <c r="G251" s="4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 s="3">
        <v>642751.42000000004</v>
      </c>
      <c r="N251" s="3">
        <v>131942.15</v>
      </c>
      <c r="O251" s="8" t="s">
        <v>103</v>
      </c>
    </row>
    <row r="252" spans="1:15">
      <c r="A252" t="s">
        <v>84</v>
      </c>
      <c r="B252" s="2">
        <v>45717</v>
      </c>
      <c r="C252" t="s">
        <v>20</v>
      </c>
      <c r="D252" t="s">
        <v>18</v>
      </c>
      <c r="E252" s="3">
        <v>38361.93</v>
      </c>
      <c r="F252">
        <v>6322</v>
      </c>
      <c r="G252" s="4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 s="3">
        <v>647953.78</v>
      </c>
      <c r="N252" s="3">
        <v>118497.43</v>
      </c>
      <c r="O252" s="8" t="s">
        <v>103</v>
      </c>
    </row>
    <row r="253" spans="1:15">
      <c r="A253" t="s">
        <v>84</v>
      </c>
      <c r="B253" s="2">
        <v>45748</v>
      </c>
      <c r="C253" t="s">
        <v>20</v>
      </c>
      <c r="D253" t="s">
        <v>18</v>
      </c>
      <c r="E253" s="3">
        <v>97480.94</v>
      </c>
      <c r="F253">
        <v>6840</v>
      </c>
      <c r="G253" s="4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 s="3">
        <v>729440.45</v>
      </c>
      <c r="N253" s="3">
        <v>87614.29</v>
      </c>
      <c r="O253" s="8" t="s">
        <v>103</v>
      </c>
    </row>
    <row r="254" spans="1:15">
      <c r="A254" t="s">
        <v>85</v>
      </c>
      <c r="B254" s="2">
        <v>45658</v>
      </c>
      <c r="C254" t="s">
        <v>24</v>
      </c>
      <c r="D254" t="s">
        <v>21</v>
      </c>
      <c r="E254" s="3">
        <v>81801.8</v>
      </c>
      <c r="F254">
        <v>6782</v>
      </c>
      <c r="G254" s="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 s="3">
        <v>764949</v>
      </c>
      <c r="N254" s="3">
        <v>148322.43</v>
      </c>
      <c r="O254" s="8" t="s">
        <v>103</v>
      </c>
    </row>
    <row r="255" spans="1:15">
      <c r="A255" t="s">
        <v>85</v>
      </c>
      <c r="B255" s="2">
        <v>45689</v>
      </c>
      <c r="C255" t="s">
        <v>24</v>
      </c>
      <c r="D255" t="s">
        <v>21</v>
      </c>
      <c r="E255" s="3">
        <v>63582.11</v>
      </c>
      <c r="F255">
        <v>6856</v>
      </c>
      <c r="G255" s="4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 s="3">
        <v>799046.94</v>
      </c>
      <c r="N255" s="3">
        <v>144553.64000000001</v>
      </c>
      <c r="O255" s="8" t="s">
        <v>103</v>
      </c>
    </row>
    <row r="256" spans="1:15">
      <c r="A256" t="s">
        <v>85</v>
      </c>
      <c r="B256" s="2">
        <v>45717</v>
      </c>
      <c r="C256" t="s">
        <v>24</v>
      </c>
      <c r="D256" t="s">
        <v>21</v>
      </c>
      <c r="E256" s="3">
        <v>75412.740000000005</v>
      </c>
      <c r="F256">
        <v>5641</v>
      </c>
      <c r="G256" s="4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 s="3">
        <v>720079.54</v>
      </c>
      <c r="N256" s="3">
        <v>119499.47</v>
      </c>
      <c r="O256" s="8" t="s">
        <v>103</v>
      </c>
    </row>
    <row r="257" spans="1:15">
      <c r="A257" t="s">
        <v>85</v>
      </c>
      <c r="B257" s="2">
        <v>45748</v>
      </c>
      <c r="C257" t="s">
        <v>24</v>
      </c>
      <c r="D257" t="s">
        <v>21</v>
      </c>
      <c r="E257" s="3">
        <v>36290.080000000002</v>
      </c>
      <c r="F257">
        <v>5787</v>
      </c>
      <c r="G257" s="4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 s="3">
        <v>612390.14</v>
      </c>
      <c r="N257" s="3">
        <v>108985.74</v>
      </c>
      <c r="O257" s="8" t="s">
        <v>103</v>
      </c>
    </row>
    <row r="258" spans="1:15">
      <c r="A258" t="s">
        <v>86</v>
      </c>
      <c r="B258" s="2">
        <v>45658</v>
      </c>
      <c r="C258" t="s">
        <v>24</v>
      </c>
      <c r="D258" t="s">
        <v>28</v>
      </c>
      <c r="E258" s="3">
        <v>65272.58</v>
      </c>
      <c r="F258">
        <v>8165</v>
      </c>
      <c r="G258" s="4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 s="3">
        <v>840108.12</v>
      </c>
      <c r="N258" s="3">
        <v>126587.01</v>
      </c>
      <c r="O258" s="8" t="s">
        <v>103</v>
      </c>
    </row>
    <row r="259" spans="1:15">
      <c r="A259" t="s">
        <v>86</v>
      </c>
      <c r="B259" s="2">
        <v>45689</v>
      </c>
      <c r="C259" t="s">
        <v>24</v>
      </c>
      <c r="D259" t="s">
        <v>28</v>
      </c>
      <c r="E259" s="3">
        <v>28670.43</v>
      </c>
      <c r="F259">
        <v>7574</v>
      </c>
      <c r="G259" s="4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 s="3">
        <v>697888.09</v>
      </c>
      <c r="N259" s="3">
        <v>116249.87</v>
      </c>
      <c r="O259" s="8" t="s">
        <v>103</v>
      </c>
    </row>
    <row r="260" spans="1:15">
      <c r="A260" t="s">
        <v>86</v>
      </c>
      <c r="B260" s="2">
        <v>45717</v>
      </c>
      <c r="C260" t="s">
        <v>24</v>
      </c>
      <c r="D260" t="s">
        <v>28</v>
      </c>
      <c r="E260" s="3">
        <v>44189.34</v>
      </c>
      <c r="F260">
        <v>8634</v>
      </c>
      <c r="G260" s="4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 s="3">
        <v>746115.59</v>
      </c>
      <c r="N260" s="3">
        <v>94662.96</v>
      </c>
      <c r="O260" s="8" t="s">
        <v>103</v>
      </c>
    </row>
    <row r="261" spans="1:15">
      <c r="A261" t="s">
        <v>86</v>
      </c>
      <c r="B261" s="2">
        <v>45748</v>
      </c>
      <c r="C261" t="s">
        <v>24</v>
      </c>
      <c r="D261" t="s">
        <v>28</v>
      </c>
      <c r="E261" s="3">
        <v>38397.82</v>
      </c>
      <c r="F261">
        <v>7836</v>
      </c>
      <c r="G261" s="4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 s="3">
        <v>776110.32</v>
      </c>
      <c r="N261" s="3">
        <v>139676.21</v>
      </c>
      <c r="O261" s="8" t="s">
        <v>103</v>
      </c>
    </row>
    <row r="262" spans="1:15">
      <c r="A262" t="s">
        <v>87</v>
      </c>
      <c r="B262" s="2">
        <v>45658</v>
      </c>
      <c r="C262" t="s">
        <v>27</v>
      </c>
      <c r="D262" t="s">
        <v>18</v>
      </c>
      <c r="E262" s="3">
        <v>14519.37</v>
      </c>
      <c r="F262">
        <v>3047</v>
      </c>
      <c r="G262" s="4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 s="3">
        <v>528852.62</v>
      </c>
      <c r="N262" s="3">
        <v>68426.210000000006</v>
      </c>
      <c r="O262" s="8" t="s">
        <v>103</v>
      </c>
    </row>
    <row r="263" spans="1:15">
      <c r="A263" t="s">
        <v>87</v>
      </c>
      <c r="B263" s="2">
        <v>45689</v>
      </c>
      <c r="C263" t="s">
        <v>27</v>
      </c>
      <c r="D263" t="s">
        <v>18</v>
      </c>
      <c r="E263" s="3">
        <v>43288.2</v>
      </c>
      <c r="F263">
        <v>4783</v>
      </c>
      <c r="G263" s="4">
        <v>0.16900000000000001</v>
      </c>
      <c r="H263">
        <v>13</v>
      </c>
      <c r="I263">
        <v>87.3</v>
      </c>
      <c r="J263">
        <v>3.3650000000000002</v>
      </c>
      <c r="K263">
        <v>0</v>
      </c>
      <c r="L263">
        <v>4.2</v>
      </c>
      <c r="M263" s="3">
        <v>605751.32999999996</v>
      </c>
      <c r="N263" s="3">
        <v>60685.53</v>
      </c>
      <c r="O263" s="8" t="s">
        <v>103</v>
      </c>
    </row>
    <row r="264" spans="1:15">
      <c r="A264" t="s">
        <v>87</v>
      </c>
      <c r="B264" s="2">
        <v>45717</v>
      </c>
      <c r="C264" t="s">
        <v>27</v>
      </c>
      <c r="D264" t="s">
        <v>18</v>
      </c>
      <c r="E264" s="3">
        <v>51450.55</v>
      </c>
      <c r="F264">
        <v>4902</v>
      </c>
      <c r="G264" s="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 s="3">
        <v>677640.65</v>
      </c>
      <c r="N264" s="3">
        <v>111610.89</v>
      </c>
      <c r="O264" s="8" t="s">
        <v>103</v>
      </c>
    </row>
    <row r="265" spans="1:15">
      <c r="A265" t="s">
        <v>87</v>
      </c>
      <c r="B265" s="2">
        <v>45748</v>
      </c>
      <c r="C265" t="s">
        <v>27</v>
      </c>
      <c r="D265" t="s">
        <v>18</v>
      </c>
      <c r="E265" s="3">
        <v>58688.26</v>
      </c>
      <c r="F265">
        <v>4022</v>
      </c>
      <c r="G265" s="4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 s="3">
        <v>636613.23</v>
      </c>
      <c r="N265" s="3">
        <v>78908.350000000006</v>
      </c>
      <c r="O265" s="8" t="s">
        <v>103</v>
      </c>
    </row>
    <row r="266" spans="1:15">
      <c r="A266" t="s">
        <v>88</v>
      </c>
      <c r="B266" s="2">
        <v>45658</v>
      </c>
      <c r="C266" t="s">
        <v>15</v>
      </c>
      <c r="D266" t="s">
        <v>18</v>
      </c>
      <c r="E266" s="3">
        <v>58981.91</v>
      </c>
      <c r="F266">
        <v>7324</v>
      </c>
      <c r="G266" s="4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 s="3">
        <v>708985.19</v>
      </c>
      <c r="N266" s="3">
        <v>125368.16</v>
      </c>
      <c r="O266" s="8" t="s">
        <v>103</v>
      </c>
    </row>
    <row r="267" spans="1:15">
      <c r="A267" t="s">
        <v>88</v>
      </c>
      <c r="B267" s="2">
        <v>45689</v>
      </c>
      <c r="C267" t="s">
        <v>15</v>
      </c>
      <c r="D267" t="s">
        <v>18</v>
      </c>
      <c r="E267" s="3">
        <v>73454.539999999994</v>
      </c>
      <c r="F267">
        <v>8129</v>
      </c>
      <c r="G267" s="4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 s="3">
        <v>767792.94</v>
      </c>
      <c r="N267" s="3">
        <v>96235.77</v>
      </c>
      <c r="O267" s="8" t="s">
        <v>103</v>
      </c>
    </row>
    <row r="268" spans="1:15">
      <c r="A268" t="s">
        <v>88</v>
      </c>
      <c r="B268" s="2">
        <v>45717</v>
      </c>
      <c r="C268" t="s">
        <v>15</v>
      </c>
      <c r="D268" t="s">
        <v>18</v>
      </c>
      <c r="E268" s="3">
        <v>56602.39</v>
      </c>
      <c r="F268">
        <v>7969</v>
      </c>
      <c r="G268" s="4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 s="3">
        <v>745580.51</v>
      </c>
      <c r="N268" s="3">
        <v>116273.68</v>
      </c>
      <c r="O268" s="8" t="s">
        <v>103</v>
      </c>
    </row>
    <row r="269" spans="1:15">
      <c r="A269" t="s">
        <v>88</v>
      </c>
      <c r="B269" s="2">
        <v>45748</v>
      </c>
      <c r="C269" t="s">
        <v>15</v>
      </c>
      <c r="D269" t="s">
        <v>18</v>
      </c>
      <c r="E269" s="3">
        <v>67722.289999999994</v>
      </c>
      <c r="F269">
        <v>7240</v>
      </c>
      <c r="G269" s="4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 s="3">
        <v>762328.31</v>
      </c>
      <c r="N269" s="3">
        <v>159158.19</v>
      </c>
      <c r="O269" s="8" t="s">
        <v>103</v>
      </c>
    </row>
    <row r="270" spans="1:15">
      <c r="A270" t="s">
        <v>89</v>
      </c>
      <c r="B270" s="2">
        <v>45658</v>
      </c>
      <c r="C270" t="s">
        <v>15</v>
      </c>
      <c r="D270" t="s">
        <v>28</v>
      </c>
      <c r="E270" s="3">
        <v>48752.92</v>
      </c>
      <c r="F270">
        <v>8052</v>
      </c>
      <c r="G270" s="4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 s="3">
        <v>660633.99</v>
      </c>
      <c r="N270" s="3">
        <v>118768.66</v>
      </c>
      <c r="O270" s="8" t="s">
        <v>103</v>
      </c>
    </row>
    <row r="271" spans="1:15">
      <c r="A271" t="s">
        <v>89</v>
      </c>
      <c r="B271" s="2">
        <v>45689</v>
      </c>
      <c r="C271" t="s">
        <v>15</v>
      </c>
      <c r="D271" t="s">
        <v>28</v>
      </c>
      <c r="E271" s="3">
        <v>23914.97</v>
      </c>
      <c r="F271">
        <v>8018</v>
      </c>
      <c r="G271" s="4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 s="3">
        <v>739374.56</v>
      </c>
      <c r="N271" s="3">
        <v>121032.29</v>
      </c>
      <c r="O271" s="8" t="s">
        <v>103</v>
      </c>
    </row>
    <row r="272" spans="1:15">
      <c r="A272" t="s">
        <v>89</v>
      </c>
      <c r="B272" s="2">
        <v>45717</v>
      </c>
      <c r="C272" t="s">
        <v>15</v>
      </c>
      <c r="D272" t="s">
        <v>28</v>
      </c>
      <c r="E272" s="3">
        <v>61995.3</v>
      </c>
      <c r="F272">
        <v>10192</v>
      </c>
      <c r="G272" s="4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 s="3">
        <v>799756.46</v>
      </c>
      <c r="N272" s="3">
        <v>105052.93</v>
      </c>
      <c r="O272" s="8" t="s">
        <v>103</v>
      </c>
    </row>
    <row r="273" spans="1:15">
      <c r="A273" t="s">
        <v>89</v>
      </c>
      <c r="B273" s="2">
        <v>45748</v>
      </c>
      <c r="C273" t="s">
        <v>15</v>
      </c>
      <c r="D273" t="s">
        <v>28</v>
      </c>
      <c r="E273" s="3">
        <v>29344.93</v>
      </c>
      <c r="F273">
        <v>7446</v>
      </c>
      <c r="G273" s="4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 s="3">
        <v>593343</v>
      </c>
      <c r="N273" s="3">
        <v>82832.240000000005</v>
      </c>
      <c r="O273" s="8" t="s">
        <v>103</v>
      </c>
    </row>
    <row r="274" spans="1:15">
      <c r="A274" t="s">
        <v>90</v>
      </c>
      <c r="B274" s="2">
        <v>45658</v>
      </c>
      <c r="C274" t="s">
        <v>27</v>
      </c>
      <c r="D274" t="s">
        <v>18</v>
      </c>
      <c r="E274" s="3">
        <v>50532.17</v>
      </c>
      <c r="F274">
        <v>5689</v>
      </c>
      <c r="G274" s="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 s="3">
        <v>645039.97</v>
      </c>
      <c r="N274" s="3">
        <v>83093.33</v>
      </c>
      <c r="O274" s="8" t="s">
        <v>103</v>
      </c>
    </row>
    <row r="275" spans="1:15">
      <c r="A275" t="s">
        <v>90</v>
      </c>
      <c r="B275" s="2">
        <v>45689</v>
      </c>
      <c r="C275" t="s">
        <v>27</v>
      </c>
      <c r="D275" t="s">
        <v>18</v>
      </c>
      <c r="E275" s="3">
        <v>17562.57</v>
      </c>
      <c r="F275">
        <v>3326</v>
      </c>
      <c r="G275" s="4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 s="3">
        <v>561597.32999999996</v>
      </c>
      <c r="N275" s="3">
        <v>75072.75</v>
      </c>
      <c r="O275" s="8" t="s">
        <v>103</v>
      </c>
    </row>
    <row r="276" spans="1:15">
      <c r="A276" t="s">
        <v>90</v>
      </c>
      <c r="B276" s="2">
        <v>45717</v>
      </c>
      <c r="C276" t="s">
        <v>27</v>
      </c>
      <c r="D276" t="s">
        <v>18</v>
      </c>
      <c r="E276" s="3">
        <v>47648.71</v>
      </c>
      <c r="F276">
        <v>5767</v>
      </c>
      <c r="G276" s="4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 s="3">
        <v>635837.74</v>
      </c>
      <c r="N276" s="3">
        <v>114740.64</v>
      </c>
      <c r="O276" s="8" t="s">
        <v>103</v>
      </c>
    </row>
    <row r="277" spans="1:15">
      <c r="A277" t="s">
        <v>90</v>
      </c>
      <c r="B277" s="2">
        <v>45748</v>
      </c>
      <c r="C277" t="s">
        <v>27</v>
      </c>
      <c r="D277" t="s">
        <v>18</v>
      </c>
      <c r="E277" s="3">
        <v>38297.58</v>
      </c>
      <c r="F277">
        <v>5893</v>
      </c>
      <c r="G277" s="4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 s="3">
        <v>686737.87</v>
      </c>
      <c r="N277" s="3">
        <v>83839.67</v>
      </c>
      <c r="O277" s="8" t="s">
        <v>103</v>
      </c>
    </row>
    <row r="278" spans="1:15">
      <c r="A278" t="s">
        <v>91</v>
      </c>
      <c r="B278" s="2">
        <v>45658</v>
      </c>
      <c r="C278" t="s">
        <v>24</v>
      </c>
      <c r="D278" t="s">
        <v>16</v>
      </c>
      <c r="E278" s="3">
        <v>61784.11</v>
      </c>
      <c r="F278">
        <v>8564</v>
      </c>
      <c r="G278" s="4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 s="3">
        <v>673076.34</v>
      </c>
      <c r="N278" s="3">
        <v>93899.76</v>
      </c>
      <c r="O278" s="8" t="s">
        <v>103</v>
      </c>
    </row>
    <row r="279" spans="1:15">
      <c r="A279" t="s">
        <v>91</v>
      </c>
      <c r="B279" s="2">
        <v>45689</v>
      </c>
      <c r="C279" t="s">
        <v>24</v>
      </c>
      <c r="D279" t="s">
        <v>16</v>
      </c>
      <c r="E279" s="3">
        <v>36832.33</v>
      </c>
      <c r="F279">
        <v>8001</v>
      </c>
      <c r="G279" s="4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 s="3">
        <v>738548.42</v>
      </c>
      <c r="N279" s="3">
        <v>134282.76999999999</v>
      </c>
      <c r="O279" s="8" t="s">
        <v>103</v>
      </c>
    </row>
    <row r="280" spans="1:15">
      <c r="A280" t="s">
        <v>91</v>
      </c>
      <c r="B280" s="2">
        <v>45717</v>
      </c>
      <c r="C280" t="s">
        <v>24</v>
      </c>
      <c r="D280" t="s">
        <v>16</v>
      </c>
      <c r="E280" s="3">
        <v>48609.41</v>
      </c>
      <c r="F280">
        <v>9324</v>
      </c>
      <c r="G280" s="4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 s="3">
        <v>756619.77</v>
      </c>
      <c r="N280" s="3">
        <v>112057.69</v>
      </c>
      <c r="O280" s="8" t="s">
        <v>103</v>
      </c>
    </row>
    <row r="281" spans="1:15">
      <c r="A281" t="s">
        <v>91</v>
      </c>
      <c r="B281" s="2">
        <v>45748</v>
      </c>
      <c r="C281" t="s">
        <v>24</v>
      </c>
      <c r="D281" t="s">
        <v>16</v>
      </c>
      <c r="E281" s="3">
        <v>70284.06</v>
      </c>
      <c r="F281">
        <v>9109</v>
      </c>
      <c r="G281" s="4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 s="3">
        <v>761122.42</v>
      </c>
      <c r="N281" s="3">
        <v>149802.04</v>
      </c>
      <c r="O281" s="8" t="s">
        <v>103</v>
      </c>
    </row>
    <row r="282" spans="1:15">
      <c r="A282" t="s">
        <v>92</v>
      </c>
      <c r="B282" s="2">
        <v>45658</v>
      </c>
      <c r="C282" t="s">
        <v>24</v>
      </c>
      <c r="D282" t="s">
        <v>18</v>
      </c>
      <c r="E282" s="3">
        <v>45940.39</v>
      </c>
      <c r="F282">
        <v>4022</v>
      </c>
      <c r="G282" s="4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 s="3">
        <v>524899.56999999995</v>
      </c>
      <c r="N282" s="3">
        <v>63619.98</v>
      </c>
      <c r="O282" s="8" t="s">
        <v>103</v>
      </c>
    </row>
    <row r="283" spans="1:15">
      <c r="A283" t="s">
        <v>92</v>
      </c>
      <c r="B283" s="2">
        <v>45689</v>
      </c>
      <c r="C283" t="s">
        <v>24</v>
      </c>
      <c r="D283" t="s">
        <v>18</v>
      </c>
      <c r="E283" s="3">
        <v>34771.26</v>
      </c>
      <c r="F283">
        <v>4355</v>
      </c>
      <c r="G283" s="4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 s="3">
        <v>555557.77</v>
      </c>
      <c r="N283" s="3">
        <v>86475.51</v>
      </c>
      <c r="O283" s="8" t="s">
        <v>103</v>
      </c>
    </row>
    <row r="284" spans="1:15">
      <c r="A284" t="s">
        <v>92</v>
      </c>
      <c r="B284" s="2">
        <v>45717</v>
      </c>
      <c r="C284" t="s">
        <v>24</v>
      </c>
      <c r="D284" t="s">
        <v>18</v>
      </c>
      <c r="E284" s="3">
        <v>66104.19</v>
      </c>
      <c r="F284">
        <v>5745</v>
      </c>
      <c r="G284" s="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 s="3">
        <v>714083.68</v>
      </c>
      <c r="N284" s="3">
        <v>127231.74</v>
      </c>
      <c r="O284" s="8" t="s">
        <v>103</v>
      </c>
    </row>
    <row r="285" spans="1:15">
      <c r="A285" t="s">
        <v>92</v>
      </c>
      <c r="B285" s="2">
        <v>45748</v>
      </c>
      <c r="C285" t="s">
        <v>24</v>
      </c>
      <c r="D285" t="s">
        <v>18</v>
      </c>
      <c r="E285" s="3">
        <v>18599.21</v>
      </c>
      <c r="F285">
        <v>3027</v>
      </c>
      <c r="G285" s="4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 s="3">
        <v>497439.82</v>
      </c>
      <c r="N285" s="3">
        <v>93372.75</v>
      </c>
      <c r="O285" s="8" t="s">
        <v>103</v>
      </c>
    </row>
    <row r="286" spans="1:15">
      <c r="A286" t="s">
        <v>93</v>
      </c>
      <c r="B286" s="2">
        <v>45658</v>
      </c>
      <c r="C286" t="s">
        <v>27</v>
      </c>
      <c r="D286" t="s">
        <v>16</v>
      </c>
      <c r="E286" s="3">
        <v>60183.06</v>
      </c>
      <c r="F286">
        <v>5562</v>
      </c>
      <c r="G286" s="4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 s="3">
        <v>636775.66</v>
      </c>
      <c r="N286" s="3">
        <v>122636.86</v>
      </c>
      <c r="O286" s="8" t="s">
        <v>103</v>
      </c>
    </row>
    <row r="287" spans="1:15">
      <c r="A287" t="s">
        <v>93</v>
      </c>
      <c r="B287" s="2">
        <v>45689</v>
      </c>
      <c r="C287" t="s">
        <v>27</v>
      </c>
      <c r="D287" t="s">
        <v>16</v>
      </c>
      <c r="E287" s="3">
        <v>74539.14</v>
      </c>
      <c r="F287">
        <v>4487</v>
      </c>
      <c r="G287" s="4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 s="3">
        <v>633009.53</v>
      </c>
      <c r="N287" s="3">
        <v>123782.67</v>
      </c>
      <c r="O287" s="8" t="s">
        <v>103</v>
      </c>
    </row>
    <row r="288" spans="1:15">
      <c r="A288" t="s">
        <v>93</v>
      </c>
      <c r="B288" s="2">
        <v>45717</v>
      </c>
      <c r="C288" t="s">
        <v>27</v>
      </c>
      <c r="D288" t="s">
        <v>16</v>
      </c>
      <c r="E288" s="3">
        <v>55371.97</v>
      </c>
      <c r="F288">
        <v>4162</v>
      </c>
      <c r="G288" s="4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 s="3">
        <v>609949</v>
      </c>
      <c r="N288" s="3">
        <v>126789.25</v>
      </c>
      <c r="O288" s="8" t="s">
        <v>103</v>
      </c>
    </row>
    <row r="289" spans="1:15">
      <c r="A289" t="s">
        <v>93</v>
      </c>
      <c r="B289" s="2">
        <v>45748</v>
      </c>
      <c r="C289" t="s">
        <v>27</v>
      </c>
      <c r="D289" t="s">
        <v>16</v>
      </c>
      <c r="E289" s="3">
        <v>40928.69</v>
      </c>
      <c r="F289">
        <v>4094</v>
      </c>
      <c r="G289" s="4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 s="3">
        <v>548103.69999999995</v>
      </c>
      <c r="N289" s="3">
        <v>99905.52</v>
      </c>
      <c r="O289" s="8" t="s">
        <v>103</v>
      </c>
    </row>
    <row r="290" spans="1:15">
      <c r="A290" t="s">
        <v>94</v>
      </c>
      <c r="B290" s="2">
        <v>45658</v>
      </c>
      <c r="C290" t="s">
        <v>15</v>
      </c>
      <c r="D290" t="s">
        <v>16</v>
      </c>
      <c r="E290" s="3">
        <v>70012.41</v>
      </c>
      <c r="F290">
        <v>8484</v>
      </c>
      <c r="G290" s="4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 s="3">
        <v>729424.42</v>
      </c>
      <c r="N290" s="3">
        <v>75592.28</v>
      </c>
      <c r="O290" s="8" t="s">
        <v>103</v>
      </c>
    </row>
    <row r="291" spans="1:15">
      <c r="A291" t="s">
        <v>94</v>
      </c>
      <c r="B291" s="2">
        <v>45689</v>
      </c>
      <c r="C291" t="s">
        <v>15</v>
      </c>
      <c r="D291" t="s">
        <v>16</v>
      </c>
      <c r="E291" s="3">
        <v>68909.259999999995</v>
      </c>
      <c r="F291">
        <v>7794</v>
      </c>
      <c r="G291" s="4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 s="3">
        <v>696261.49</v>
      </c>
      <c r="N291" s="3">
        <v>72455.350000000006</v>
      </c>
      <c r="O291" s="8" t="s">
        <v>103</v>
      </c>
    </row>
    <row r="292" spans="1:15">
      <c r="A292" t="s">
        <v>94</v>
      </c>
      <c r="B292" s="2">
        <v>45717</v>
      </c>
      <c r="C292" t="s">
        <v>15</v>
      </c>
      <c r="D292" t="s">
        <v>16</v>
      </c>
      <c r="E292" s="3">
        <v>56737.3</v>
      </c>
      <c r="F292">
        <v>8300</v>
      </c>
      <c r="G292" s="4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 s="3">
        <v>813316.71</v>
      </c>
      <c r="N292" s="3">
        <v>110077.42</v>
      </c>
      <c r="O292" s="8" t="s">
        <v>103</v>
      </c>
    </row>
    <row r="293" spans="1:15">
      <c r="A293" t="s">
        <v>94</v>
      </c>
      <c r="B293" s="2">
        <v>45748</v>
      </c>
      <c r="C293" t="s">
        <v>15</v>
      </c>
      <c r="D293" t="s">
        <v>16</v>
      </c>
      <c r="E293" s="3">
        <v>54080.91</v>
      </c>
      <c r="F293">
        <v>7083</v>
      </c>
      <c r="G293" s="4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 s="3">
        <v>702068.92</v>
      </c>
      <c r="N293" s="3">
        <v>111266.63</v>
      </c>
      <c r="O293" s="8" t="s">
        <v>103</v>
      </c>
    </row>
    <row r="294" spans="1:15">
      <c r="A294" t="s">
        <v>95</v>
      </c>
      <c r="B294" s="2">
        <v>45658</v>
      </c>
      <c r="C294" t="s">
        <v>27</v>
      </c>
      <c r="D294" t="s">
        <v>18</v>
      </c>
      <c r="E294" s="3">
        <v>51996.32</v>
      </c>
      <c r="F294">
        <v>3834</v>
      </c>
      <c r="G294" s="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 s="3">
        <v>546223.69999999995</v>
      </c>
      <c r="N294" s="3">
        <v>100769.17</v>
      </c>
      <c r="O294" s="8" t="s">
        <v>103</v>
      </c>
    </row>
    <row r="295" spans="1:15">
      <c r="A295" t="s">
        <v>95</v>
      </c>
      <c r="B295" s="2">
        <v>45689</v>
      </c>
      <c r="C295" t="s">
        <v>27</v>
      </c>
      <c r="D295" t="s">
        <v>18</v>
      </c>
      <c r="E295" s="3">
        <v>40102.879999999997</v>
      </c>
      <c r="F295">
        <v>2358</v>
      </c>
      <c r="G295" s="4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 s="3">
        <v>533121.26</v>
      </c>
      <c r="N295" s="3">
        <v>55063.39</v>
      </c>
      <c r="O295" s="8" t="s">
        <v>103</v>
      </c>
    </row>
    <row r="296" spans="1:15">
      <c r="A296" t="s">
        <v>95</v>
      </c>
      <c r="B296" s="2">
        <v>45717</v>
      </c>
      <c r="C296" t="s">
        <v>27</v>
      </c>
      <c r="D296" t="s">
        <v>18</v>
      </c>
      <c r="E296" s="3">
        <v>59825.51</v>
      </c>
      <c r="F296">
        <v>1231</v>
      </c>
      <c r="G296" s="4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 s="3">
        <v>498970.32</v>
      </c>
      <c r="N296" s="3">
        <v>69656.7</v>
      </c>
      <c r="O296" s="8" t="s">
        <v>103</v>
      </c>
    </row>
    <row r="297" spans="1:15">
      <c r="A297" t="s">
        <v>95</v>
      </c>
      <c r="B297" s="2">
        <v>45748</v>
      </c>
      <c r="C297" t="s">
        <v>27</v>
      </c>
      <c r="D297" t="s">
        <v>18</v>
      </c>
      <c r="E297" s="3">
        <v>27398.28</v>
      </c>
      <c r="F297">
        <v>1723</v>
      </c>
      <c r="G297" s="4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 s="3">
        <v>487738.26</v>
      </c>
      <c r="N297" s="3">
        <v>96435.6</v>
      </c>
      <c r="O297" s="8" t="s">
        <v>103</v>
      </c>
    </row>
    <row r="298" spans="1:15">
      <c r="A298" t="s">
        <v>96</v>
      </c>
      <c r="B298" s="2">
        <v>45658</v>
      </c>
      <c r="C298" t="s">
        <v>27</v>
      </c>
      <c r="D298" t="s">
        <v>18</v>
      </c>
      <c r="E298" s="3">
        <v>55599.56</v>
      </c>
      <c r="F298">
        <v>5896</v>
      </c>
      <c r="G298" s="4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 s="3">
        <v>668459.37</v>
      </c>
      <c r="N298" s="3">
        <v>126435.42</v>
      </c>
      <c r="O298" s="8" t="s">
        <v>103</v>
      </c>
    </row>
    <row r="299" spans="1:15">
      <c r="A299" t="s">
        <v>96</v>
      </c>
      <c r="B299" s="2">
        <v>45689</v>
      </c>
      <c r="C299" t="s">
        <v>27</v>
      </c>
      <c r="D299" t="s">
        <v>18</v>
      </c>
      <c r="E299" s="3">
        <v>55477.61</v>
      </c>
      <c r="F299">
        <v>5903</v>
      </c>
      <c r="G299" s="4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 s="3">
        <v>763162.45</v>
      </c>
      <c r="N299" s="3">
        <v>162524.04999999999</v>
      </c>
      <c r="O299" s="8" t="s">
        <v>103</v>
      </c>
    </row>
    <row r="300" spans="1:15">
      <c r="A300" t="s">
        <v>96</v>
      </c>
      <c r="B300" s="2">
        <v>45717</v>
      </c>
      <c r="C300" t="s">
        <v>27</v>
      </c>
      <c r="D300" t="s">
        <v>18</v>
      </c>
      <c r="E300" s="3">
        <v>46174.7</v>
      </c>
      <c r="F300">
        <v>4898</v>
      </c>
      <c r="G300" s="4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 s="3">
        <v>599017.32999999996</v>
      </c>
      <c r="N300" s="3">
        <v>134009.92000000001</v>
      </c>
      <c r="O300" s="8" t="s">
        <v>103</v>
      </c>
    </row>
    <row r="301" spans="1:15">
      <c r="A301" t="s">
        <v>96</v>
      </c>
      <c r="B301" s="2">
        <v>45748</v>
      </c>
      <c r="C301" t="s">
        <v>27</v>
      </c>
      <c r="D301" t="s">
        <v>18</v>
      </c>
      <c r="E301" s="3">
        <v>24362.98</v>
      </c>
      <c r="F301">
        <v>1462</v>
      </c>
      <c r="G301" s="4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 s="3">
        <v>401582.58</v>
      </c>
      <c r="N301" s="3">
        <v>68454.929999999993</v>
      </c>
      <c r="O301" s="8" t="s">
        <v>103</v>
      </c>
    </row>
    <row r="302" spans="1:15">
      <c r="A302" t="s">
        <v>97</v>
      </c>
      <c r="B302" s="2">
        <v>45658</v>
      </c>
      <c r="C302" t="s">
        <v>20</v>
      </c>
      <c r="D302" t="s">
        <v>28</v>
      </c>
      <c r="E302" s="3">
        <v>40647.67</v>
      </c>
      <c r="F302">
        <v>8252</v>
      </c>
      <c r="G302" s="4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 s="3">
        <v>703812.99</v>
      </c>
      <c r="N302" s="3">
        <v>133577.98000000001</v>
      </c>
      <c r="O302" s="8" t="s">
        <v>103</v>
      </c>
    </row>
    <row r="303" spans="1:15">
      <c r="A303" t="s">
        <v>97</v>
      </c>
      <c r="B303" s="2">
        <v>45689</v>
      </c>
      <c r="C303" t="s">
        <v>20</v>
      </c>
      <c r="D303" t="s">
        <v>28</v>
      </c>
      <c r="E303" s="3">
        <v>63986.98</v>
      </c>
      <c r="F303">
        <v>7989</v>
      </c>
      <c r="G303" s="4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 s="3">
        <v>724346.73</v>
      </c>
      <c r="N303" s="3">
        <v>155013.91</v>
      </c>
      <c r="O303" s="8" t="s">
        <v>103</v>
      </c>
    </row>
    <row r="304" spans="1:15">
      <c r="A304" t="s">
        <v>97</v>
      </c>
      <c r="B304" s="2">
        <v>45717</v>
      </c>
      <c r="C304" t="s">
        <v>20</v>
      </c>
      <c r="D304" t="s">
        <v>28</v>
      </c>
      <c r="E304" s="3">
        <v>52843.75</v>
      </c>
      <c r="F304">
        <v>8268</v>
      </c>
      <c r="G304" s="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 s="3">
        <v>730890.01</v>
      </c>
      <c r="N304" s="3">
        <v>105502.56</v>
      </c>
      <c r="O304" s="8" t="s">
        <v>103</v>
      </c>
    </row>
    <row r="305" spans="1:15">
      <c r="A305" t="s">
        <v>97</v>
      </c>
      <c r="B305" s="2">
        <v>45748</v>
      </c>
      <c r="C305" t="s">
        <v>20</v>
      </c>
      <c r="D305" t="s">
        <v>28</v>
      </c>
      <c r="E305" s="3">
        <v>31997.25</v>
      </c>
      <c r="F305">
        <v>8183</v>
      </c>
      <c r="G305" s="4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 s="3">
        <v>780580.95</v>
      </c>
      <c r="N305" s="3">
        <v>138144.46</v>
      </c>
      <c r="O305" s="8" t="s">
        <v>103</v>
      </c>
    </row>
    <row r="306" spans="1:15">
      <c r="A306" t="s">
        <v>98</v>
      </c>
      <c r="B306" s="2">
        <v>45658</v>
      </c>
      <c r="C306" t="s">
        <v>24</v>
      </c>
      <c r="D306" t="s">
        <v>16</v>
      </c>
      <c r="E306" s="3">
        <v>54948.02</v>
      </c>
      <c r="F306">
        <v>6534</v>
      </c>
      <c r="G306" s="4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 s="3">
        <v>727957.48</v>
      </c>
      <c r="N306" s="3">
        <v>74805.23</v>
      </c>
      <c r="O306" s="8" t="s">
        <v>103</v>
      </c>
    </row>
    <row r="307" spans="1:15">
      <c r="A307" t="s">
        <v>98</v>
      </c>
      <c r="B307" s="2">
        <v>45689</v>
      </c>
      <c r="C307" t="s">
        <v>24</v>
      </c>
      <c r="D307" t="s">
        <v>16</v>
      </c>
      <c r="E307" s="3">
        <v>46146.239999999998</v>
      </c>
      <c r="F307">
        <v>5804</v>
      </c>
      <c r="G307" s="4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 s="3">
        <v>538376</v>
      </c>
      <c r="N307" s="3">
        <v>87605.62</v>
      </c>
      <c r="O307" s="8" t="s">
        <v>103</v>
      </c>
    </row>
    <row r="308" spans="1:15">
      <c r="A308" t="s">
        <v>98</v>
      </c>
      <c r="B308" s="2">
        <v>45717</v>
      </c>
      <c r="C308" t="s">
        <v>24</v>
      </c>
      <c r="D308" t="s">
        <v>16</v>
      </c>
      <c r="E308" s="3">
        <v>22387.26</v>
      </c>
      <c r="F308">
        <v>6301</v>
      </c>
      <c r="G308" s="4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 s="3">
        <v>665342.49</v>
      </c>
      <c r="N308" s="3">
        <v>93441.81</v>
      </c>
      <c r="O308" s="8" t="s">
        <v>103</v>
      </c>
    </row>
    <row r="309" spans="1:15">
      <c r="A309" t="s">
        <v>98</v>
      </c>
      <c r="B309" s="2">
        <v>45748</v>
      </c>
      <c r="C309" t="s">
        <v>24</v>
      </c>
      <c r="D309" t="s">
        <v>16</v>
      </c>
      <c r="E309" s="3">
        <v>60684.05</v>
      </c>
      <c r="F309">
        <v>6399</v>
      </c>
      <c r="G309" s="4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 s="3">
        <v>651164.18000000005</v>
      </c>
      <c r="N309" s="3">
        <v>109466.5</v>
      </c>
      <c r="O309" s="8" t="s">
        <v>103</v>
      </c>
    </row>
    <row r="310" spans="1:15">
      <c r="A310" t="s">
        <v>99</v>
      </c>
      <c r="B310" s="2">
        <v>45658</v>
      </c>
      <c r="C310" t="s">
        <v>24</v>
      </c>
      <c r="D310" t="s">
        <v>18</v>
      </c>
      <c r="E310" s="3">
        <v>48465.599999999999</v>
      </c>
      <c r="F310">
        <v>5759</v>
      </c>
      <c r="G310" s="4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 s="3">
        <v>628538.30000000005</v>
      </c>
      <c r="N310" s="3">
        <v>112509.15</v>
      </c>
      <c r="O310" s="8" t="s">
        <v>103</v>
      </c>
    </row>
    <row r="311" spans="1:15">
      <c r="A311" t="s">
        <v>99</v>
      </c>
      <c r="B311" s="2">
        <v>45689</v>
      </c>
      <c r="C311" t="s">
        <v>24</v>
      </c>
      <c r="D311" t="s">
        <v>18</v>
      </c>
      <c r="E311" s="3">
        <v>23702.38</v>
      </c>
      <c r="F311">
        <v>5285</v>
      </c>
      <c r="G311" s="4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 s="3">
        <v>536524.84</v>
      </c>
      <c r="N311" s="3">
        <v>92752.94</v>
      </c>
      <c r="O311" s="8" t="s">
        <v>103</v>
      </c>
    </row>
    <row r="312" spans="1:15">
      <c r="A312" t="s">
        <v>99</v>
      </c>
      <c r="B312" s="2">
        <v>45717</v>
      </c>
      <c r="C312" t="s">
        <v>24</v>
      </c>
      <c r="D312" t="s">
        <v>18</v>
      </c>
      <c r="E312" s="3">
        <v>54322.94</v>
      </c>
      <c r="F312">
        <v>5434</v>
      </c>
      <c r="G312" s="4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 s="3">
        <v>621677.30000000005</v>
      </c>
      <c r="N312" s="3">
        <v>105192.52</v>
      </c>
      <c r="O312" s="8" t="s">
        <v>103</v>
      </c>
    </row>
    <row r="313" spans="1:15">
      <c r="A313" t="s">
        <v>99</v>
      </c>
      <c r="B313" s="2">
        <v>45748</v>
      </c>
      <c r="C313" t="s">
        <v>24</v>
      </c>
      <c r="D313" t="s">
        <v>18</v>
      </c>
      <c r="E313" s="3">
        <v>86026.58</v>
      </c>
      <c r="F313">
        <v>7479</v>
      </c>
      <c r="G313" s="4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 s="3">
        <v>771129.07</v>
      </c>
      <c r="N313" s="3">
        <v>116851.13</v>
      </c>
      <c r="O313" s="8" t="s">
        <v>103</v>
      </c>
    </row>
    <row r="314" spans="1:15">
      <c r="A314" t="s">
        <v>100</v>
      </c>
      <c r="B314" s="2">
        <v>45658</v>
      </c>
      <c r="C314" t="s">
        <v>20</v>
      </c>
      <c r="D314" t="s">
        <v>16</v>
      </c>
      <c r="E314" s="3">
        <v>78967.520000000004</v>
      </c>
      <c r="F314">
        <v>6164</v>
      </c>
      <c r="G314" s="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 s="3">
        <v>702052.47</v>
      </c>
      <c r="N314" s="3">
        <v>121732.51</v>
      </c>
      <c r="O314" s="8" t="s">
        <v>103</v>
      </c>
    </row>
    <row r="315" spans="1:15">
      <c r="A315" t="s">
        <v>100</v>
      </c>
      <c r="B315" s="2">
        <v>45689</v>
      </c>
      <c r="C315" t="s">
        <v>20</v>
      </c>
      <c r="D315" t="s">
        <v>16</v>
      </c>
      <c r="E315" s="3">
        <v>46767.99</v>
      </c>
      <c r="F315">
        <v>7973</v>
      </c>
      <c r="G315" s="4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 s="3">
        <v>688368.46</v>
      </c>
      <c r="N315" s="3">
        <v>93588.42</v>
      </c>
      <c r="O315" s="8" t="s">
        <v>103</v>
      </c>
    </row>
    <row r="316" spans="1:15">
      <c r="A316" t="s">
        <v>100</v>
      </c>
      <c r="B316" s="2">
        <v>45717</v>
      </c>
      <c r="C316" t="s">
        <v>20</v>
      </c>
      <c r="D316" t="s">
        <v>16</v>
      </c>
      <c r="E316" s="3">
        <v>62507.16</v>
      </c>
      <c r="F316">
        <v>6000</v>
      </c>
      <c r="G316" s="4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 s="3">
        <v>712375.77</v>
      </c>
      <c r="N316" s="3">
        <v>104171.53</v>
      </c>
      <c r="O316" s="8" t="s">
        <v>103</v>
      </c>
    </row>
    <row r="317" spans="1:15">
      <c r="A317" t="s">
        <v>100</v>
      </c>
      <c r="B317" s="2">
        <v>45748</v>
      </c>
      <c r="C317" t="s">
        <v>20</v>
      </c>
      <c r="D317" t="s">
        <v>16</v>
      </c>
      <c r="E317" s="3">
        <v>66456.28</v>
      </c>
      <c r="F317">
        <v>9967</v>
      </c>
      <c r="G317" s="4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 s="3">
        <v>844710.67</v>
      </c>
      <c r="N317" s="3">
        <v>137140.18</v>
      </c>
      <c r="O317" s="8" t="s">
        <v>103</v>
      </c>
    </row>
    <row r="318" spans="1:15">
      <c r="A318" t="s">
        <v>101</v>
      </c>
      <c r="B318" s="2">
        <v>45658</v>
      </c>
      <c r="C318" t="s">
        <v>15</v>
      </c>
      <c r="D318" t="s">
        <v>16</v>
      </c>
      <c r="E318" s="3">
        <v>76614.320000000007</v>
      </c>
      <c r="F318">
        <v>5639</v>
      </c>
      <c r="G318" s="4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 s="3">
        <v>620264.19999999995</v>
      </c>
      <c r="N318" s="3">
        <v>91365.64</v>
      </c>
      <c r="O318" s="8" t="s">
        <v>103</v>
      </c>
    </row>
    <row r="319" spans="1:15">
      <c r="A319" t="s">
        <v>101</v>
      </c>
      <c r="B319" s="2">
        <v>45689</v>
      </c>
      <c r="C319" t="s">
        <v>15</v>
      </c>
      <c r="D319" t="s">
        <v>16</v>
      </c>
      <c r="E319" s="3">
        <v>24088.06</v>
      </c>
      <c r="F319">
        <v>3466</v>
      </c>
      <c r="G319" s="4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 s="3">
        <v>536845.42000000004</v>
      </c>
      <c r="N319" s="3">
        <v>107473.75</v>
      </c>
      <c r="O319" s="8" t="s">
        <v>103</v>
      </c>
    </row>
    <row r="320" spans="1:15">
      <c r="A320" t="s">
        <v>101</v>
      </c>
      <c r="B320" s="2">
        <v>45717</v>
      </c>
      <c r="C320" t="s">
        <v>15</v>
      </c>
      <c r="D320" t="s">
        <v>16</v>
      </c>
      <c r="E320" s="3">
        <v>81902.58</v>
      </c>
      <c r="F320">
        <v>7775</v>
      </c>
      <c r="G320" s="4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 s="3">
        <v>726776.22</v>
      </c>
      <c r="N320" s="3">
        <v>90804.49</v>
      </c>
      <c r="O320" s="8" t="s">
        <v>103</v>
      </c>
    </row>
    <row r="321" spans="1:15">
      <c r="A321" t="s">
        <v>101</v>
      </c>
      <c r="B321" s="2">
        <v>45748</v>
      </c>
      <c r="C321" t="s">
        <v>15</v>
      </c>
      <c r="D321" t="s">
        <v>16</v>
      </c>
      <c r="E321" s="3">
        <v>40553.11</v>
      </c>
      <c r="F321">
        <v>5317</v>
      </c>
      <c r="G321" s="4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 s="3">
        <v>559660.84</v>
      </c>
      <c r="N321" s="3">
        <v>71443.61</v>
      </c>
      <c r="O321" s="8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21"/>
  <sheetViews>
    <sheetView zoomScaleNormal="100" zoomScaleSheetLayoutView="100" workbookViewId="0"/>
  </sheetViews>
  <sheetFormatPr defaultRowHeight="15"/>
  <cols>
    <col min="1" max="1" width="7.5" customWidth="1"/>
    <col min="2" max="2" width="9.125" customWidth="1"/>
    <col min="3" max="3" width="5.375" customWidth="1"/>
    <col min="4" max="4" width="8.875" customWidth="1"/>
    <col min="5" max="5" width="13.75" customWidth="1"/>
    <col min="6" max="6" width="6" customWidth="1"/>
    <col min="7" max="7" width="13.875" customWidth="1"/>
    <col min="8" max="8" width="9.125" customWidth="1"/>
    <col min="9" max="9" width="20.25" customWidth="1"/>
    <col min="10" max="10" width="19.5" customWidth="1"/>
    <col min="11" max="11" width="9.875" customWidth="1"/>
    <col min="12" max="12" width="13" customWidth="1"/>
    <col min="13" max="13" width="11.625" customWidth="1"/>
    <col min="14" max="14" width="12.125" customWidth="1"/>
    <col min="15" max="16" width="10.75" customWidth="1"/>
    <col min="17" max="17" width="10.125" customWidth="1"/>
    <col min="18" max="18" width="15.125" customWidth="1"/>
    <col min="19" max="19" width="18.625" customWidth="1"/>
    <col min="20" max="20" width="13.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 s="3">
        <v>70389.11</v>
      </c>
      <c r="F2">
        <v>8302</v>
      </c>
      <c r="G2" s="4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 s="3">
        <v>658832.62</v>
      </c>
      <c r="N2" s="3">
        <v>84349.93</v>
      </c>
      <c r="O2">
        <f>IF(C2="North",1,0)</f>
        <v>0</v>
      </c>
      <c r="P2">
        <f>IF(C2="South",1,0)</f>
        <v>0</v>
      </c>
      <c r="Q2">
        <f>IF(C2="West",1,0)</f>
        <v>0</v>
      </c>
      <c r="R2">
        <f>IF(D2="Airport",1,0)</f>
        <v>0</v>
      </c>
      <c r="S2">
        <f>IF(D2="High Street",1,0)</f>
        <v>0</v>
      </c>
      <c r="T2">
        <f>IF(D2="Mall",1,0)</f>
        <v>0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 s="3">
        <v>43827.89</v>
      </c>
      <c r="F3">
        <v>8487</v>
      </c>
      <c r="G3" s="4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 s="3">
        <v>634436</v>
      </c>
      <c r="N3" s="3">
        <v>106130.54</v>
      </c>
      <c r="O3">
        <f>IF(C3="North",1,0)</f>
        <v>0</v>
      </c>
      <c r="P3">
        <f>IF(C3="South",1,0)</f>
        <v>0</v>
      </c>
      <c r="Q3">
        <f>IF(C3="West",1,0)</f>
        <v>0</v>
      </c>
      <c r="R3">
        <f>IF(D3="Airport",1,0)</f>
        <v>0</v>
      </c>
      <c r="S3">
        <f>IF(D3="High Street",1,0)</f>
        <v>0</v>
      </c>
      <c r="T3">
        <f>IF(D3="Mall",1,0)</f>
        <v>0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 s="3">
        <v>59921.75</v>
      </c>
      <c r="F4">
        <v>9113</v>
      </c>
      <c r="G4" s="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 s="3">
        <v>678722.06</v>
      </c>
      <c r="N4" s="3">
        <v>101883.86</v>
      </c>
      <c r="O4">
        <f>IF(C4="North",1,0)</f>
        <v>0</v>
      </c>
      <c r="P4">
        <f>IF(C4="South",1,0)</f>
        <v>0</v>
      </c>
      <c r="Q4">
        <f>IF(C4="West",1,0)</f>
        <v>0</v>
      </c>
      <c r="R4">
        <f>IF(D4="Airport",1,0)</f>
        <v>0</v>
      </c>
      <c r="S4">
        <f>IF(D4="High Street",1,0)</f>
        <v>0</v>
      </c>
      <c r="T4">
        <f>IF(D4="Mall",1,0)</f>
        <v>0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 s="3">
        <v>56856.63</v>
      </c>
      <c r="F5">
        <v>9431</v>
      </c>
      <c r="G5" s="4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 s="3">
        <v>658920.30000000005</v>
      </c>
      <c r="N5" s="3">
        <v>97910.37</v>
      </c>
      <c r="O5">
        <f>IF(C5="North",1,0)</f>
        <v>0</v>
      </c>
      <c r="P5">
        <f>IF(C5="South",1,0)</f>
        <v>0</v>
      </c>
      <c r="Q5">
        <f>IF(C5="West",1,0)</f>
        <v>0</v>
      </c>
      <c r="R5">
        <f>IF(D5="Airport",1,0)</f>
        <v>0</v>
      </c>
      <c r="S5">
        <f>IF(D5="High Street",1,0)</f>
        <v>0</v>
      </c>
      <c r="T5">
        <f>IF(D5="Mall",1,0)</f>
        <v>0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 s="3">
        <v>48412.639999999999</v>
      </c>
      <c r="F6">
        <v>9545</v>
      </c>
      <c r="G6" s="4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 s="3">
        <v>741341.44</v>
      </c>
      <c r="N6" s="3">
        <v>119208.17</v>
      </c>
      <c r="O6">
        <f>IF(C6="North",1,0)</f>
        <v>0</v>
      </c>
      <c r="P6">
        <f>IF(C6="South",1,0)</f>
        <v>0</v>
      </c>
      <c r="Q6">
        <f>IF(C6="West",1,0)</f>
        <v>0</v>
      </c>
      <c r="R6">
        <f>IF(D6="Airport",1,0)</f>
        <v>0</v>
      </c>
      <c r="S6">
        <f>IF(D6="High Street",1,0)</f>
        <v>1</v>
      </c>
      <c r="T6">
        <f>IF(D6="Mall",1,0)</f>
        <v>0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 s="3">
        <v>64811.21</v>
      </c>
      <c r="F7">
        <v>9792</v>
      </c>
      <c r="G7" s="4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 s="3">
        <v>761835.34</v>
      </c>
      <c r="N7" s="3">
        <v>149602.23000000001</v>
      </c>
      <c r="O7">
        <f>IF(C7="North",1,0)</f>
        <v>0</v>
      </c>
      <c r="P7">
        <f>IF(C7="South",1,0)</f>
        <v>0</v>
      </c>
      <c r="Q7">
        <f>IF(C7="West",1,0)</f>
        <v>0</v>
      </c>
      <c r="R7">
        <f>IF(D7="Airport",1,0)</f>
        <v>0</v>
      </c>
      <c r="S7">
        <f>IF(D7="High Street",1,0)</f>
        <v>1</v>
      </c>
      <c r="T7">
        <f>IF(D7="Mall",1,0)</f>
        <v>0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 s="3">
        <v>46213.45</v>
      </c>
      <c r="F8">
        <v>10616</v>
      </c>
      <c r="G8" s="4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 s="3">
        <v>806615.54</v>
      </c>
      <c r="N8" s="3">
        <v>131364.62</v>
      </c>
      <c r="O8">
        <f>IF(C8="North",1,0)</f>
        <v>0</v>
      </c>
      <c r="P8">
        <f>IF(C8="South",1,0)</f>
        <v>0</v>
      </c>
      <c r="Q8">
        <f>IF(C8="West",1,0)</f>
        <v>0</v>
      </c>
      <c r="R8">
        <f>IF(D8="Airport",1,0)</f>
        <v>0</v>
      </c>
      <c r="S8">
        <f>IF(D8="High Street",1,0)</f>
        <v>1</v>
      </c>
      <c r="T8">
        <f>IF(D8="Mall",1,0)</f>
        <v>0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 s="3">
        <v>68148.52</v>
      </c>
      <c r="F9">
        <v>8567</v>
      </c>
      <c r="G9" s="4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 s="3">
        <v>850164.26</v>
      </c>
      <c r="N9" s="3">
        <v>149262.75</v>
      </c>
      <c r="O9">
        <f>IF(C9="North",1,0)</f>
        <v>0</v>
      </c>
      <c r="P9">
        <f>IF(C9="South",1,0)</f>
        <v>0</v>
      </c>
      <c r="Q9">
        <f>IF(C9="West",1,0)</f>
        <v>0</v>
      </c>
      <c r="R9">
        <f>IF(D9="Airport",1,0)</f>
        <v>0</v>
      </c>
      <c r="S9">
        <f>IF(D9="High Street",1,0)</f>
        <v>1</v>
      </c>
      <c r="T9">
        <f>IF(D9="Mall",1,0)</f>
        <v>0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 s="3">
        <v>71838.86</v>
      </c>
      <c r="F10">
        <v>10979</v>
      </c>
      <c r="G10" s="4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 s="3">
        <v>930581.7</v>
      </c>
      <c r="N10" s="3">
        <v>136207.98000000001</v>
      </c>
      <c r="O10">
        <f>IF(C10="North",1,0)</f>
        <v>1</v>
      </c>
      <c r="P10">
        <f>IF(C10="South",1,0)</f>
        <v>0</v>
      </c>
      <c r="Q10">
        <f>IF(C10="West",1,0)</f>
        <v>0</v>
      </c>
      <c r="R10">
        <f>IF(D10="Airport",1,0)</f>
        <v>1</v>
      </c>
      <c r="S10">
        <f>IF(D10="High Street",1,0)</f>
        <v>0</v>
      </c>
      <c r="T10">
        <f>IF(D10="Mall",1,0)</f>
        <v>0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 s="3">
        <v>68133.440000000002</v>
      </c>
      <c r="F11">
        <v>9459</v>
      </c>
      <c r="G11" s="4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 s="3">
        <v>779010.94</v>
      </c>
      <c r="N11" s="3">
        <v>106328.09</v>
      </c>
      <c r="O11">
        <f>IF(C11="North",1,0)</f>
        <v>1</v>
      </c>
      <c r="P11">
        <f>IF(C11="South",1,0)</f>
        <v>0</v>
      </c>
      <c r="Q11">
        <f>IF(C11="West",1,0)</f>
        <v>0</v>
      </c>
      <c r="R11">
        <f>IF(D11="Airport",1,0)</f>
        <v>1</v>
      </c>
      <c r="S11">
        <f>IF(D11="High Street",1,0)</f>
        <v>0</v>
      </c>
      <c r="T11">
        <f>IF(D11="Mall",1,0)</f>
        <v>0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 s="3">
        <v>34285.21</v>
      </c>
      <c r="F12">
        <v>9172</v>
      </c>
      <c r="G12" s="4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 s="3">
        <v>723060.76</v>
      </c>
      <c r="N12" s="3">
        <v>123131.24</v>
      </c>
      <c r="O12">
        <f>IF(C12="North",1,0)</f>
        <v>1</v>
      </c>
      <c r="P12">
        <f>IF(C12="South",1,0)</f>
        <v>0</v>
      </c>
      <c r="Q12">
        <f>IF(C12="West",1,0)</f>
        <v>0</v>
      </c>
      <c r="R12">
        <f>IF(D12="Airport",1,0)</f>
        <v>1</v>
      </c>
      <c r="S12">
        <f>IF(D12="High Street",1,0)</f>
        <v>0</v>
      </c>
      <c r="T12">
        <f>IF(D12="Mall",1,0)</f>
        <v>0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 s="3">
        <v>67979.88</v>
      </c>
      <c r="F13">
        <v>11230</v>
      </c>
      <c r="G13" s="4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 s="3">
        <v>910791.94</v>
      </c>
      <c r="N13" s="3">
        <v>158891.28</v>
      </c>
      <c r="O13">
        <f>IF(C13="North",1,0)</f>
        <v>1</v>
      </c>
      <c r="P13">
        <f>IF(C13="South",1,0)</f>
        <v>0</v>
      </c>
      <c r="Q13">
        <f>IF(C13="West",1,0)</f>
        <v>0</v>
      </c>
      <c r="R13">
        <f>IF(D13="Airport",1,0)</f>
        <v>1</v>
      </c>
      <c r="S13">
        <f>IF(D13="High Street",1,0)</f>
        <v>0</v>
      </c>
      <c r="T13">
        <f>IF(D13="Mall",1,0)</f>
        <v>0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 s="3">
        <v>71828.259999999995</v>
      </c>
      <c r="F14">
        <v>12775</v>
      </c>
      <c r="G14" s="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 s="3">
        <v>922168.6</v>
      </c>
      <c r="N14" s="3">
        <v>107494.53</v>
      </c>
      <c r="O14">
        <f>IF(C14="North",1,0)</f>
        <v>0</v>
      </c>
      <c r="P14">
        <f>IF(C14="South",1,0)</f>
        <v>0</v>
      </c>
      <c r="Q14">
        <f>IF(C14="West",1,0)</f>
        <v>0</v>
      </c>
      <c r="R14">
        <f>IF(D14="Airport",1,0)</f>
        <v>0</v>
      </c>
      <c r="S14">
        <f>IF(D14="High Street",1,0)</f>
        <v>0</v>
      </c>
      <c r="T14">
        <f>IF(D14="Mall",1,0)</f>
        <v>0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 s="3">
        <v>55716.82</v>
      </c>
      <c r="F15">
        <v>10054</v>
      </c>
      <c r="G15" s="4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 s="3">
        <v>726606.28</v>
      </c>
      <c r="N15" s="3">
        <v>122729.29</v>
      </c>
      <c r="O15">
        <f>IF(C15="North",1,0)</f>
        <v>0</v>
      </c>
      <c r="P15">
        <f>IF(C15="South",1,0)</f>
        <v>0</v>
      </c>
      <c r="Q15">
        <f>IF(C15="West",1,0)</f>
        <v>0</v>
      </c>
      <c r="R15">
        <f>IF(D15="Airport",1,0)</f>
        <v>0</v>
      </c>
      <c r="S15">
        <f>IF(D15="High Street",1,0)</f>
        <v>0</v>
      </c>
      <c r="T15">
        <f>IF(D15="Mall",1,0)</f>
        <v>0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 s="3">
        <v>59909.51</v>
      </c>
      <c r="F16">
        <v>8895</v>
      </c>
      <c r="G16" s="4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 s="3">
        <v>746501.09</v>
      </c>
      <c r="N16" s="3">
        <v>136816.72</v>
      </c>
      <c r="O16">
        <f>IF(C16="North",1,0)</f>
        <v>0</v>
      </c>
      <c r="P16">
        <f>IF(C16="South",1,0)</f>
        <v>0</v>
      </c>
      <c r="Q16">
        <f>IF(C16="West",1,0)</f>
        <v>0</v>
      </c>
      <c r="R16">
        <f>IF(D16="Airport",1,0)</f>
        <v>0</v>
      </c>
      <c r="S16">
        <f>IF(D16="High Street",1,0)</f>
        <v>0</v>
      </c>
      <c r="T16">
        <f>IF(D16="Mall",1,0)</f>
        <v>0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 s="3">
        <v>75305.710000000006</v>
      </c>
      <c r="F17">
        <v>10940</v>
      </c>
      <c r="G17" s="4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 s="3">
        <v>834017.02</v>
      </c>
      <c r="N17" s="3">
        <v>114745.03</v>
      </c>
      <c r="O17">
        <f>IF(C17="North",1,0)</f>
        <v>0</v>
      </c>
      <c r="P17">
        <f>IF(C17="South",1,0)</f>
        <v>0</v>
      </c>
      <c r="Q17">
        <f>IF(C17="West",1,0)</f>
        <v>0</v>
      </c>
      <c r="R17">
        <f>IF(D17="Airport",1,0)</f>
        <v>0</v>
      </c>
      <c r="S17">
        <f>IF(D17="High Street",1,0)</f>
        <v>0</v>
      </c>
      <c r="T17">
        <f>IF(D17="Mall",1,0)</f>
        <v>0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 s="3">
        <v>48804.22</v>
      </c>
      <c r="F18">
        <v>7057</v>
      </c>
      <c r="G18" s="4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 s="3">
        <v>666152.52</v>
      </c>
      <c r="N18" s="3">
        <v>107490.58</v>
      </c>
      <c r="O18">
        <f>IF(C18="North",1,0)</f>
        <v>0</v>
      </c>
      <c r="P18">
        <f>IF(C18="South",1,0)</f>
        <v>1</v>
      </c>
      <c r="Q18">
        <f>IF(C18="West",1,0)</f>
        <v>0</v>
      </c>
      <c r="R18">
        <f>IF(D18="Airport",1,0)</f>
        <v>0</v>
      </c>
      <c r="S18">
        <f>IF(D18="High Street",1,0)</f>
        <v>0</v>
      </c>
      <c r="T18">
        <f>IF(D18="Mall",1,0)</f>
        <v>0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 s="3">
        <v>59117.9</v>
      </c>
      <c r="F19">
        <v>4263</v>
      </c>
      <c r="G19" s="4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 s="3">
        <v>573155.18999999994</v>
      </c>
      <c r="N19" s="3">
        <v>83680.75</v>
      </c>
      <c r="O19">
        <f>IF(C19="North",1,0)</f>
        <v>0</v>
      </c>
      <c r="P19">
        <f>IF(C19="South",1,0)</f>
        <v>1</v>
      </c>
      <c r="Q19">
        <f>IF(C19="West",1,0)</f>
        <v>0</v>
      </c>
      <c r="R19">
        <f>IF(D19="Airport",1,0)</f>
        <v>0</v>
      </c>
      <c r="S19">
        <f>IF(D19="High Street",1,0)</f>
        <v>0</v>
      </c>
      <c r="T19">
        <f>IF(D19="Mall",1,0)</f>
        <v>0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 s="3">
        <v>78831.12</v>
      </c>
      <c r="F20">
        <v>5538</v>
      </c>
      <c r="G20" s="4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 s="3">
        <v>666573.19999999995</v>
      </c>
      <c r="N20" s="3">
        <v>140641.01999999999</v>
      </c>
      <c r="O20">
        <f>IF(C20="North",1,0)</f>
        <v>0</v>
      </c>
      <c r="P20">
        <f>IF(C20="South",1,0)</f>
        <v>1</v>
      </c>
      <c r="Q20">
        <f>IF(C20="West",1,0)</f>
        <v>0</v>
      </c>
      <c r="R20">
        <f>IF(D20="Airport",1,0)</f>
        <v>0</v>
      </c>
      <c r="S20">
        <f>IF(D20="High Street",1,0)</f>
        <v>0</v>
      </c>
      <c r="T20">
        <f>IF(D20="Mall",1,0)</f>
        <v>0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 s="3">
        <v>41441.93</v>
      </c>
      <c r="F21">
        <v>4865</v>
      </c>
      <c r="G21" s="4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 s="3">
        <v>591619.94999999995</v>
      </c>
      <c r="N21" s="3">
        <v>99521.35</v>
      </c>
      <c r="O21">
        <f>IF(C21="North",1,0)</f>
        <v>0</v>
      </c>
      <c r="P21">
        <f>IF(C21="South",1,0)</f>
        <v>1</v>
      </c>
      <c r="Q21">
        <f>IF(C21="West",1,0)</f>
        <v>0</v>
      </c>
      <c r="R21">
        <f>IF(D21="Airport",1,0)</f>
        <v>0</v>
      </c>
      <c r="S21">
        <f>IF(D21="High Street",1,0)</f>
        <v>0</v>
      </c>
      <c r="T21">
        <f>IF(D21="Mall",1,0)</f>
        <v>0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 s="3">
        <v>30356.28</v>
      </c>
      <c r="F22">
        <v>2822</v>
      </c>
      <c r="G22" s="4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 s="3">
        <v>415721.82</v>
      </c>
      <c r="N22" s="3">
        <v>61179.15</v>
      </c>
      <c r="O22">
        <f>IF(C22="North",1,0)</f>
        <v>1</v>
      </c>
      <c r="P22">
        <f>IF(C22="South",1,0)</f>
        <v>0</v>
      </c>
      <c r="Q22">
        <f>IF(C22="West",1,0)</f>
        <v>0</v>
      </c>
      <c r="R22">
        <f>IF(D22="Airport",1,0)</f>
        <v>0</v>
      </c>
      <c r="S22">
        <f>IF(D22="High Street",1,0)</f>
        <v>0</v>
      </c>
      <c r="T22">
        <f>IF(D22="Mall",1,0)</f>
        <v>0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 s="3">
        <v>33518.879999999997</v>
      </c>
      <c r="F23">
        <v>2121</v>
      </c>
      <c r="G23" s="4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 s="3">
        <v>491905.13</v>
      </c>
      <c r="N23" s="3">
        <v>79212.259999999995</v>
      </c>
      <c r="O23">
        <f>IF(C23="North",1,0)</f>
        <v>1</v>
      </c>
      <c r="P23">
        <f>IF(C23="South",1,0)</f>
        <v>0</v>
      </c>
      <c r="Q23">
        <f>IF(C23="West",1,0)</f>
        <v>0</v>
      </c>
      <c r="R23">
        <f>IF(D23="Airport",1,0)</f>
        <v>0</v>
      </c>
      <c r="S23">
        <f>IF(D23="High Street",1,0)</f>
        <v>0</v>
      </c>
      <c r="T23">
        <f>IF(D23="Mall",1,0)</f>
        <v>0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 s="3">
        <v>42267.37</v>
      </c>
      <c r="F24">
        <v>3364</v>
      </c>
      <c r="G24" s="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 s="3">
        <v>555929.4</v>
      </c>
      <c r="N24" s="3">
        <v>115201.76</v>
      </c>
      <c r="O24">
        <f>IF(C24="North",1,0)</f>
        <v>1</v>
      </c>
      <c r="P24">
        <f>IF(C24="South",1,0)</f>
        <v>0</v>
      </c>
      <c r="Q24">
        <f>IF(C24="West",1,0)</f>
        <v>0</v>
      </c>
      <c r="R24">
        <f>IF(D24="Airport",1,0)</f>
        <v>0</v>
      </c>
      <c r="S24">
        <f>IF(D24="High Street",1,0)</f>
        <v>0</v>
      </c>
      <c r="T24">
        <f>IF(D24="Mall",1,0)</f>
        <v>0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 s="3">
        <v>62060.43</v>
      </c>
      <c r="F25">
        <v>2613</v>
      </c>
      <c r="G25" s="4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 s="3">
        <v>565810.99</v>
      </c>
      <c r="N25" s="3">
        <v>77825.460000000006</v>
      </c>
      <c r="O25">
        <f>IF(C25="North",1,0)</f>
        <v>1</v>
      </c>
      <c r="P25">
        <f>IF(C25="South",1,0)</f>
        <v>0</v>
      </c>
      <c r="Q25">
        <f>IF(C25="West",1,0)</f>
        <v>0</v>
      </c>
      <c r="R25">
        <f>IF(D25="Airport",1,0)</f>
        <v>0</v>
      </c>
      <c r="S25">
        <f>IF(D25="High Street",1,0)</f>
        <v>0</v>
      </c>
      <c r="T25">
        <f>IF(D25="Mall",1,0)</f>
        <v>0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 s="3">
        <v>57696.69</v>
      </c>
      <c r="F26">
        <v>10218</v>
      </c>
      <c r="G26" s="4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 s="3">
        <v>811771.14</v>
      </c>
      <c r="N26" s="3">
        <v>148756.24</v>
      </c>
      <c r="O26">
        <f>IF(C26="North",1,0)</f>
        <v>0</v>
      </c>
      <c r="P26">
        <f>IF(C26="South",1,0)</f>
        <v>0</v>
      </c>
      <c r="Q26">
        <f>IF(C26="West",1,0)</f>
        <v>1</v>
      </c>
      <c r="R26">
        <f>IF(D26="Airport",1,0)</f>
        <v>0</v>
      </c>
      <c r="S26">
        <f>IF(D26="High Street",1,0)</f>
        <v>0</v>
      </c>
      <c r="T26">
        <f>IF(D26="Mall",1,0)</f>
        <v>1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 s="3">
        <v>172415.52</v>
      </c>
      <c r="F27">
        <v>8927</v>
      </c>
      <c r="G27" s="4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 s="3">
        <v>800451.94</v>
      </c>
      <c r="N27" s="3">
        <v>111572.29</v>
      </c>
      <c r="O27">
        <f>IF(C27="North",1,0)</f>
        <v>0</v>
      </c>
      <c r="P27">
        <f>IF(C27="South",1,0)</f>
        <v>0</v>
      </c>
      <c r="Q27">
        <f>IF(C27="West",1,0)</f>
        <v>1</v>
      </c>
      <c r="R27">
        <f>IF(D27="Airport",1,0)</f>
        <v>0</v>
      </c>
      <c r="S27">
        <f>IF(D27="High Street",1,0)</f>
        <v>0</v>
      </c>
      <c r="T27">
        <f>IF(D27="Mall",1,0)</f>
        <v>1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 s="3">
        <v>55270.52</v>
      </c>
      <c r="F28">
        <v>9315</v>
      </c>
      <c r="G28" s="4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 s="3">
        <v>783672.82</v>
      </c>
      <c r="N28" s="3">
        <v>112577.14</v>
      </c>
      <c r="O28">
        <f>IF(C28="North",1,0)</f>
        <v>0</v>
      </c>
      <c r="P28">
        <f>IF(C28="South",1,0)</f>
        <v>0</v>
      </c>
      <c r="Q28">
        <f>IF(C28="West",1,0)</f>
        <v>1</v>
      </c>
      <c r="R28">
        <f>IF(D28="Airport",1,0)</f>
        <v>0</v>
      </c>
      <c r="S28">
        <f>IF(D28="High Street",1,0)</f>
        <v>0</v>
      </c>
      <c r="T28">
        <f>IF(D28="Mall",1,0)</f>
        <v>1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 s="3">
        <v>52715.1</v>
      </c>
      <c r="F29">
        <v>7223</v>
      </c>
      <c r="G29" s="4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 s="3">
        <v>701641.97</v>
      </c>
      <c r="N29" s="3">
        <v>106111.86</v>
      </c>
      <c r="O29">
        <f>IF(C29="North",1,0)</f>
        <v>0</v>
      </c>
      <c r="P29">
        <f>IF(C29="South",1,0)</f>
        <v>0</v>
      </c>
      <c r="Q29">
        <f>IF(C29="West",1,0)</f>
        <v>1</v>
      </c>
      <c r="R29">
        <f>IF(D29="Airport",1,0)</f>
        <v>0</v>
      </c>
      <c r="S29">
        <f>IF(D29="High Street",1,0)</f>
        <v>0</v>
      </c>
      <c r="T29">
        <f>IF(D29="Mall",1,0)</f>
        <v>1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 s="3">
        <v>68600.62</v>
      </c>
      <c r="F30">
        <v>3988</v>
      </c>
      <c r="G30" s="4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 s="3">
        <v>511844.41</v>
      </c>
      <c r="N30" s="3">
        <v>72774.44</v>
      </c>
      <c r="O30">
        <f>IF(C30="North",1,0)</f>
        <v>0</v>
      </c>
      <c r="P30">
        <f>IF(C30="South",1,0)</f>
        <v>0</v>
      </c>
      <c r="Q30">
        <f>IF(C30="West",1,0)</f>
        <v>0</v>
      </c>
      <c r="R30">
        <f>IF(D30="Airport",1,0)</f>
        <v>0</v>
      </c>
      <c r="S30">
        <f>IF(D30="High Street",1,0)</f>
        <v>0</v>
      </c>
      <c r="T30">
        <f>IF(D30="Mall",1,0)</f>
        <v>0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 s="3">
        <v>63176.73</v>
      </c>
      <c r="F31">
        <v>2390</v>
      </c>
      <c r="G31" s="4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 s="3">
        <v>537383.79</v>
      </c>
      <c r="N31" s="3">
        <v>63773.27</v>
      </c>
      <c r="O31">
        <f>IF(C31="North",1,0)</f>
        <v>0</v>
      </c>
      <c r="P31">
        <f>IF(C31="South",1,0)</f>
        <v>0</v>
      </c>
      <c r="Q31">
        <f>IF(C31="West",1,0)</f>
        <v>0</v>
      </c>
      <c r="R31">
        <f>IF(D31="Airport",1,0)</f>
        <v>0</v>
      </c>
      <c r="S31">
        <f>IF(D31="High Street",1,0)</f>
        <v>0</v>
      </c>
      <c r="T31">
        <f>IF(D31="Mall",1,0)</f>
        <v>0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 s="3">
        <v>44970.080000000002</v>
      </c>
      <c r="F32">
        <v>2471</v>
      </c>
      <c r="G32" s="4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 s="3">
        <v>500173.02</v>
      </c>
      <c r="N32" s="3">
        <v>70982.05</v>
      </c>
      <c r="O32">
        <f>IF(C32="North",1,0)</f>
        <v>0</v>
      </c>
      <c r="P32">
        <f>IF(C32="South",1,0)</f>
        <v>0</v>
      </c>
      <c r="Q32">
        <f>IF(C32="West",1,0)</f>
        <v>0</v>
      </c>
      <c r="R32">
        <f>IF(D32="Airport",1,0)</f>
        <v>0</v>
      </c>
      <c r="S32">
        <f>IF(D32="High Street",1,0)</f>
        <v>0</v>
      </c>
      <c r="T32">
        <f>IF(D32="Mall",1,0)</f>
        <v>0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 s="3">
        <v>69816.350000000006</v>
      </c>
      <c r="F33">
        <v>971</v>
      </c>
      <c r="G33" s="4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 s="3">
        <v>427917.38</v>
      </c>
      <c r="N33" s="3">
        <v>81824.31</v>
      </c>
      <c r="O33">
        <f>IF(C33="North",1,0)</f>
        <v>0</v>
      </c>
      <c r="P33">
        <f>IF(C33="South",1,0)</f>
        <v>0</v>
      </c>
      <c r="Q33">
        <f>IF(C33="West",1,0)</f>
        <v>0</v>
      </c>
      <c r="R33">
        <f>IF(D33="Airport",1,0)</f>
        <v>0</v>
      </c>
      <c r="S33">
        <f>IF(D33="High Street",1,0)</f>
        <v>0</v>
      </c>
      <c r="T33">
        <f>IF(D33="Mall",1,0)</f>
        <v>0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 s="3">
        <v>54597.83</v>
      </c>
      <c r="F34">
        <v>9429</v>
      </c>
      <c r="G34" s="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 s="3">
        <v>641865.03</v>
      </c>
      <c r="N34" s="3">
        <v>81342.58</v>
      </c>
      <c r="O34">
        <f>IF(C34="North",1,0)</f>
        <v>1</v>
      </c>
      <c r="P34">
        <f>IF(C34="South",1,0)</f>
        <v>0</v>
      </c>
      <c r="Q34">
        <f>IF(C34="West",1,0)</f>
        <v>0</v>
      </c>
      <c r="R34">
        <f>IF(D34="Airport",1,0)</f>
        <v>0</v>
      </c>
      <c r="S34">
        <f>IF(D34="High Street",1,0)</f>
        <v>0</v>
      </c>
      <c r="T34">
        <f>IF(D34="Mall",1,0)</f>
        <v>0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 s="3">
        <v>73771.91</v>
      </c>
      <c r="F35">
        <v>11695</v>
      </c>
      <c r="G35" s="4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 s="3">
        <v>799477.76000000001</v>
      </c>
      <c r="N35" s="3">
        <v>164974.41</v>
      </c>
      <c r="O35">
        <f>IF(C35="North",1,0)</f>
        <v>1</v>
      </c>
      <c r="P35">
        <f>IF(C35="South",1,0)</f>
        <v>0</v>
      </c>
      <c r="Q35">
        <f>IF(C35="West",1,0)</f>
        <v>0</v>
      </c>
      <c r="R35">
        <f>IF(D35="Airport",1,0)</f>
        <v>0</v>
      </c>
      <c r="S35">
        <f>IF(D35="High Street",1,0)</f>
        <v>0</v>
      </c>
      <c r="T35">
        <f>IF(D35="Mall",1,0)</f>
        <v>0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 s="3">
        <v>74413.88</v>
      </c>
      <c r="F36">
        <v>9449</v>
      </c>
      <c r="G36" s="4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 s="3">
        <v>798952.17</v>
      </c>
      <c r="N36" s="3">
        <v>161499.04</v>
      </c>
      <c r="O36">
        <f>IF(C36="North",1,0)</f>
        <v>1</v>
      </c>
      <c r="P36">
        <f>IF(C36="South",1,0)</f>
        <v>0</v>
      </c>
      <c r="Q36">
        <f>IF(C36="West",1,0)</f>
        <v>0</v>
      </c>
      <c r="R36">
        <f>IF(D36="Airport",1,0)</f>
        <v>0</v>
      </c>
      <c r="S36">
        <f>IF(D36="High Street",1,0)</f>
        <v>0</v>
      </c>
      <c r="T36">
        <f>IF(D36="Mall",1,0)</f>
        <v>0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 s="3">
        <v>52483.77</v>
      </c>
      <c r="F37">
        <v>10453</v>
      </c>
      <c r="G37" s="4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 s="3">
        <v>800979.78</v>
      </c>
      <c r="N37" s="3">
        <v>149242.26999999999</v>
      </c>
      <c r="O37">
        <f>IF(C37="North",1,0)</f>
        <v>1</v>
      </c>
      <c r="P37">
        <f>IF(C37="South",1,0)</f>
        <v>0</v>
      </c>
      <c r="Q37">
        <f>IF(C37="West",1,0)</f>
        <v>0</v>
      </c>
      <c r="R37">
        <f>IF(D37="Airport",1,0)</f>
        <v>0</v>
      </c>
      <c r="S37">
        <f>IF(D37="High Street",1,0)</f>
        <v>0</v>
      </c>
      <c r="T37">
        <f>IF(D37="Mall",1,0)</f>
        <v>0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 s="3">
        <v>75269.87</v>
      </c>
      <c r="F38">
        <v>8838</v>
      </c>
      <c r="G38" s="4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 s="3">
        <v>820593.93</v>
      </c>
      <c r="N38" s="3">
        <v>115860.06</v>
      </c>
      <c r="O38">
        <f>IF(C38="North",1,0)</f>
        <v>1</v>
      </c>
      <c r="P38">
        <f>IF(C38="South",1,0)</f>
        <v>0</v>
      </c>
      <c r="Q38">
        <f>IF(C38="West",1,0)</f>
        <v>0</v>
      </c>
      <c r="R38">
        <f>IF(D38="Airport",1,0)</f>
        <v>0</v>
      </c>
      <c r="S38">
        <f>IF(D38="High Street",1,0)</f>
        <v>0</v>
      </c>
      <c r="T38">
        <f>IF(D38="Mall",1,0)</f>
        <v>1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 s="3">
        <v>61245.41</v>
      </c>
      <c r="F39">
        <v>8156</v>
      </c>
      <c r="G39" s="4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 s="3">
        <v>718330.53</v>
      </c>
      <c r="N39" s="3">
        <v>93247.9</v>
      </c>
      <c r="O39">
        <f>IF(C39="North",1,0)</f>
        <v>1</v>
      </c>
      <c r="P39">
        <f>IF(C39="South",1,0)</f>
        <v>0</v>
      </c>
      <c r="Q39">
        <f>IF(C39="West",1,0)</f>
        <v>0</v>
      </c>
      <c r="R39">
        <f>IF(D39="Airport",1,0)</f>
        <v>0</v>
      </c>
      <c r="S39">
        <f>IF(D39="High Street",1,0)</f>
        <v>0</v>
      </c>
      <c r="T39">
        <f>IF(D39="Mall",1,0)</f>
        <v>1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 s="3">
        <v>93381.26</v>
      </c>
      <c r="F40">
        <v>7562</v>
      </c>
      <c r="G40" s="4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 s="3">
        <v>736633.4</v>
      </c>
      <c r="N40" s="3">
        <v>115654.66</v>
      </c>
      <c r="O40">
        <f>IF(C40="North",1,0)</f>
        <v>1</v>
      </c>
      <c r="P40">
        <f>IF(C40="South",1,0)</f>
        <v>0</v>
      </c>
      <c r="Q40">
        <f>IF(C40="West",1,0)</f>
        <v>0</v>
      </c>
      <c r="R40">
        <f>IF(D40="Airport",1,0)</f>
        <v>0</v>
      </c>
      <c r="S40">
        <f>IF(D40="High Street",1,0)</f>
        <v>0</v>
      </c>
      <c r="T40">
        <f>IF(D40="Mall",1,0)</f>
        <v>1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 s="3">
        <v>65012.19</v>
      </c>
      <c r="F41">
        <v>9598</v>
      </c>
      <c r="G41" s="4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 s="3">
        <v>828623.85</v>
      </c>
      <c r="N41" s="3">
        <v>167320.51999999999</v>
      </c>
      <c r="O41">
        <f>IF(C41="North",1,0)</f>
        <v>1</v>
      </c>
      <c r="P41">
        <f>IF(C41="South",1,0)</f>
        <v>0</v>
      </c>
      <c r="Q41">
        <f>IF(C41="West",1,0)</f>
        <v>0</v>
      </c>
      <c r="R41">
        <f>IF(D41="Airport",1,0)</f>
        <v>0</v>
      </c>
      <c r="S41">
        <f>IF(D41="High Street",1,0)</f>
        <v>0</v>
      </c>
      <c r="T41">
        <f>IF(D41="Mall",1,0)</f>
        <v>1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 s="3">
        <v>40462.94</v>
      </c>
      <c r="F42">
        <v>3660</v>
      </c>
      <c r="G42" s="4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 s="3">
        <v>592195.85</v>
      </c>
      <c r="N42" s="3">
        <v>92291.56</v>
      </c>
      <c r="O42">
        <f>IF(C42="North",1,0)</f>
        <v>0</v>
      </c>
      <c r="P42">
        <f>IF(C42="South",1,0)</f>
        <v>0</v>
      </c>
      <c r="Q42">
        <f>IF(C42="West",1,0)</f>
        <v>0</v>
      </c>
      <c r="R42">
        <f>IF(D42="Airport",1,0)</f>
        <v>0</v>
      </c>
      <c r="S42">
        <f>IF(D42="High Street",1,0)</f>
        <v>0</v>
      </c>
      <c r="T42">
        <f>IF(D42="Mall",1,0)</f>
        <v>1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 s="3">
        <v>46123.88</v>
      </c>
      <c r="F43">
        <v>3227</v>
      </c>
      <c r="G43" s="4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 s="3">
        <v>532644.46</v>
      </c>
      <c r="N43" s="3">
        <v>60681.32</v>
      </c>
      <c r="O43">
        <f>IF(C43="North",1,0)</f>
        <v>0</v>
      </c>
      <c r="P43">
        <f>IF(C43="South",1,0)</f>
        <v>0</v>
      </c>
      <c r="Q43">
        <f>IF(C43="West",1,0)</f>
        <v>0</v>
      </c>
      <c r="R43">
        <f>IF(D43="Airport",1,0)</f>
        <v>0</v>
      </c>
      <c r="S43">
        <f>IF(D43="High Street",1,0)</f>
        <v>0</v>
      </c>
      <c r="T43">
        <f>IF(D43="Mall",1,0)</f>
        <v>1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 s="3">
        <v>68077.539999999994</v>
      </c>
      <c r="F44">
        <v>3360</v>
      </c>
      <c r="G44" s="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 s="3">
        <v>657429.18000000005</v>
      </c>
      <c r="N44" s="3">
        <v>88919.74</v>
      </c>
      <c r="O44">
        <f>IF(C44="North",1,0)</f>
        <v>0</v>
      </c>
      <c r="P44">
        <f>IF(C44="South",1,0)</f>
        <v>0</v>
      </c>
      <c r="Q44">
        <f>IF(C44="West",1,0)</f>
        <v>0</v>
      </c>
      <c r="R44">
        <f>IF(D44="Airport",1,0)</f>
        <v>0</v>
      </c>
      <c r="S44">
        <f>IF(D44="High Street",1,0)</f>
        <v>0</v>
      </c>
      <c r="T44">
        <f>IF(D44="Mall",1,0)</f>
        <v>1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 s="3">
        <v>64882.14</v>
      </c>
      <c r="F45">
        <v>3642</v>
      </c>
      <c r="G45" s="4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 s="3">
        <v>605178</v>
      </c>
      <c r="N45" s="3">
        <v>106958.74</v>
      </c>
      <c r="O45">
        <f>IF(C45="North",1,0)</f>
        <v>0</v>
      </c>
      <c r="P45">
        <f>IF(C45="South",1,0)</f>
        <v>0</v>
      </c>
      <c r="Q45">
        <f>IF(C45="West",1,0)</f>
        <v>0</v>
      </c>
      <c r="R45">
        <f>IF(D45="Airport",1,0)</f>
        <v>0</v>
      </c>
      <c r="S45">
        <f>IF(D45="High Street",1,0)</f>
        <v>0</v>
      </c>
      <c r="T45">
        <f>IF(D45="Mall",1,0)</f>
        <v>1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 s="3">
        <v>138855.51</v>
      </c>
      <c r="F46">
        <v>5145</v>
      </c>
      <c r="G46" s="4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 s="3">
        <v>595467.6</v>
      </c>
      <c r="N46" s="3">
        <v>104276.46</v>
      </c>
      <c r="O46">
        <f>IF(C46="North",1,0)</f>
        <v>0</v>
      </c>
      <c r="P46">
        <f>IF(C46="South",1,0)</f>
        <v>0</v>
      </c>
      <c r="Q46">
        <f>IF(C46="West",1,0)</f>
        <v>1</v>
      </c>
      <c r="R46">
        <f>IF(D46="Airport",1,0)</f>
        <v>0</v>
      </c>
      <c r="S46">
        <f>IF(D46="High Street",1,0)</f>
        <v>0</v>
      </c>
      <c r="T46">
        <f>IF(D46="Mall",1,0)</f>
        <v>0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 s="3">
        <v>63630.21</v>
      </c>
      <c r="F47">
        <v>4460</v>
      </c>
      <c r="G47" s="4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 s="3">
        <v>599603.4</v>
      </c>
      <c r="N47" s="3">
        <v>112685.12</v>
      </c>
      <c r="O47">
        <f>IF(C47="North",1,0)</f>
        <v>0</v>
      </c>
      <c r="P47">
        <f>IF(C47="South",1,0)</f>
        <v>0</v>
      </c>
      <c r="Q47">
        <f>IF(C47="West",1,0)</f>
        <v>1</v>
      </c>
      <c r="R47">
        <f>IF(D47="Airport",1,0)</f>
        <v>0</v>
      </c>
      <c r="S47">
        <f>IF(D47="High Street",1,0)</f>
        <v>0</v>
      </c>
      <c r="T47">
        <f>IF(D47="Mall",1,0)</f>
        <v>0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 s="3">
        <v>50043.65</v>
      </c>
      <c r="F48">
        <v>3804</v>
      </c>
      <c r="G48" s="4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 s="3">
        <v>614800.09</v>
      </c>
      <c r="N48" s="3">
        <v>100044.2</v>
      </c>
      <c r="O48">
        <f>IF(C48="North",1,0)</f>
        <v>0</v>
      </c>
      <c r="P48">
        <f>IF(C48="South",1,0)</f>
        <v>0</v>
      </c>
      <c r="Q48">
        <f>IF(C48="West",1,0)</f>
        <v>1</v>
      </c>
      <c r="R48">
        <f>IF(D48="Airport",1,0)</f>
        <v>0</v>
      </c>
      <c r="S48">
        <f>IF(D48="High Street",1,0)</f>
        <v>0</v>
      </c>
      <c r="T48">
        <f>IF(D48="Mall",1,0)</f>
        <v>0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 s="3">
        <v>42093.84</v>
      </c>
      <c r="F49">
        <v>4074</v>
      </c>
      <c r="G49" s="4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 s="3">
        <v>585365.73</v>
      </c>
      <c r="N49" s="3">
        <v>81011.520000000004</v>
      </c>
      <c r="O49">
        <f>IF(C49="North",1,0)</f>
        <v>0</v>
      </c>
      <c r="P49">
        <f>IF(C49="South",1,0)</f>
        <v>0</v>
      </c>
      <c r="Q49">
        <f>IF(C49="West",1,0)</f>
        <v>1</v>
      </c>
      <c r="R49">
        <f>IF(D49="Airport",1,0)</f>
        <v>0</v>
      </c>
      <c r="S49">
        <f>IF(D49="High Street",1,0)</f>
        <v>0</v>
      </c>
      <c r="T49">
        <f>IF(D49="Mall",1,0)</f>
        <v>0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 s="3">
        <v>46624.05</v>
      </c>
      <c r="F50">
        <v>5104</v>
      </c>
      <c r="G50" s="4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 s="3">
        <v>622811.74</v>
      </c>
      <c r="N50" s="3">
        <v>109978.35</v>
      </c>
      <c r="O50">
        <f>IF(C50="North",1,0)</f>
        <v>1</v>
      </c>
      <c r="P50">
        <f>IF(C50="South",1,0)</f>
        <v>0</v>
      </c>
      <c r="Q50">
        <f>IF(C50="West",1,0)</f>
        <v>0</v>
      </c>
      <c r="R50">
        <f>IF(D50="Airport",1,0)</f>
        <v>0</v>
      </c>
      <c r="S50">
        <f>IF(D50="High Street",1,0)</f>
        <v>0</v>
      </c>
      <c r="T50">
        <f>IF(D50="Mall",1,0)</f>
        <v>1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 s="3">
        <v>49710.29</v>
      </c>
      <c r="F51">
        <v>5559</v>
      </c>
      <c r="G51" s="4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 s="3">
        <v>603297.56999999995</v>
      </c>
      <c r="N51" s="3">
        <v>60592.26</v>
      </c>
      <c r="O51">
        <f>IF(C51="North",1,0)</f>
        <v>1</v>
      </c>
      <c r="P51">
        <f>IF(C51="South",1,0)</f>
        <v>0</v>
      </c>
      <c r="Q51">
        <f>IF(C51="West",1,0)</f>
        <v>0</v>
      </c>
      <c r="R51">
        <f>IF(D51="Airport",1,0)</f>
        <v>0</v>
      </c>
      <c r="S51">
        <f>IF(D51="High Street",1,0)</f>
        <v>0</v>
      </c>
      <c r="T51">
        <f>IF(D51="Mall",1,0)</f>
        <v>1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 s="3">
        <v>48287.85</v>
      </c>
      <c r="F52">
        <v>5150</v>
      </c>
      <c r="G52" s="4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 s="3">
        <v>625672.86</v>
      </c>
      <c r="N52" s="3">
        <v>118020.12</v>
      </c>
      <c r="O52">
        <f>IF(C52="North",1,0)</f>
        <v>1</v>
      </c>
      <c r="P52">
        <f>IF(C52="South",1,0)</f>
        <v>0</v>
      </c>
      <c r="Q52">
        <f>IF(C52="West",1,0)</f>
        <v>0</v>
      </c>
      <c r="R52">
        <f>IF(D52="Airport",1,0)</f>
        <v>0</v>
      </c>
      <c r="S52">
        <f>IF(D52="High Street",1,0)</f>
        <v>0</v>
      </c>
      <c r="T52">
        <f>IF(D52="Mall",1,0)</f>
        <v>1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 s="3">
        <v>65312.49</v>
      </c>
      <c r="F53">
        <v>7189</v>
      </c>
      <c r="G53" s="4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 s="3">
        <v>773815.14</v>
      </c>
      <c r="N53" s="3">
        <v>133948.39000000001</v>
      </c>
      <c r="O53">
        <f>IF(C53="North",1,0)</f>
        <v>1</v>
      </c>
      <c r="P53">
        <f>IF(C53="South",1,0)</f>
        <v>0</v>
      </c>
      <c r="Q53">
        <f>IF(C53="West",1,0)</f>
        <v>0</v>
      </c>
      <c r="R53">
        <f>IF(D53="Airport",1,0)</f>
        <v>0</v>
      </c>
      <c r="S53">
        <f>IF(D53="High Street",1,0)</f>
        <v>0</v>
      </c>
      <c r="T53">
        <f>IF(D53="Mall",1,0)</f>
        <v>1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 s="3">
        <v>53015.46</v>
      </c>
      <c r="F54">
        <v>3279</v>
      </c>
      <c r="G54" s="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 s="3">
        <v>463534.25</v>
      </c>
      <c r="N54" s="3">
        <v>81834.539999999994</v>
      </c>
      <c r="O54">
        <f>IF(C54="North",1,0)</f>
        <v>0</v>
      </c>
      <c r="P54">
        <f>IF(C54="South",1,0)</f>
        <v>0</v>
      </c>
      <c r="Q54">
        <f>IF(C54="West",1,0)</f>
        <v>1</v>
      </c>
      <c r="R54">
        <f>IF(D54="Airport",1,0)</f>
        <v>0</v>
      </c>
      <c r="S54">
        <f>IF(D54="High Street",1,0)</f>
        <v>1</v>
      </c>
      <c r="T54">
        <f>IF(D54="Mall",1,0)</f>
        <v>0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 s="3">
        <v>99874.01</v>
      </c>
      <c r="F55">
        <v>5887</v>
      </c>
      <c r="G55" s="4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 s="3">
        <v>746677.75</v>
      </c>
      <c r="N55" s="3">
        <v>122437.84</v>
      </c>
      <c r="O55">
        <f>IF(C55="North",1,0)</f>
        <v>0</v>
      </c>
      <c r="P55">
        <f>IF(C55="South",1,0)</f>
        <v>0</v>
      </c>
      <c r="Q55">
        <f>IF(C55="West",1,0)</f>
        <v>1</v>
      </c>
      <c r="R55">
        <f>IF(D55="Airport",1,0)</f>
        <v>0</v>
      </c>
      <c r="S55">
        <f>IF(D55="High Street",1,0)</f>
        <v>1</v>
      </c>
      <c r="T55">
        <f>IF(D55="Mall",1,0)</f>
        <v>0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 s="3">
        <v>81195.5</v>
      </c>
      <c r="F56">
        <v>5516</v>
      </c>
      <c r="G56" s="4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 s="3">
        <v>720852.5</v>
      </c>
      <c r="N56" s="3">
        <v>98565.62</v>
      </c>
      <c r="O56">
        <f>IF(C56="North",1,0)</f>
        <v>0</v>
      </c>
      <c r="P56">
        <f>IF(C56="South",1,0)</f>
        <v>0</v>
      </c>
      <c r="Q56">
        <f>IF(C56="West",1,0)</f>
        <v>1</v>
      </c>
      <c r="R56">
        <f>IF(D56="Airport",1,0)</f>
        <v>0</v>
      </c>
      <c r="S56">
        <f>IF(D56="High Street",1,0)</f>
        <v>1</v>
      </c>
      <c r="T56">
        <f>IF(D56="Mall",1,0)</f>
        <v>0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 s="3">
        <v>27808.6</v>
      </c>
      <c r="F57">
        <v>2863</v>
      </c>
      <c r="G57" s="4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 s="3">
        <v>487464.91</v>
      </c>
      <c r="N57" s="3">
        <v>64562.26</v>
      </c>
      <c r="O57">
        <f>IF(C57="North",1,0)</f>
        <v>0</v>
      </c>
      <c r="P57">
        <f>IF(C57="South",1,0)</f>
        <v>0</v>
      </c>
      <c r="Q57">
        <f>IF(C57="West",1,0)</f>
        <v>1</v>
      </c>
      <c r="R57">
        <f>IF(D57="Airport",1,0)</f>
        <v>0</v>
      </c>
      <c r="S57">
        <f>IF(D57="High Street",1,0)</f>
        <v>1</v>
      </c>
      <c r="T57">
        <f>IF(D57="Mall",1,0)</f>
        <v>0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 s="3">
        <v>19365.060000000001</v>
      </c>
      <c r="F58">
        <v>2378</v>
      </c>
      <c r="G58" s="4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 s="3">
        <v>518049.26</v>
      </c>
      <c r="N58" s="3">
        <v>108592.49</v>
      </c>
      <c r="O58">
        <f>IF(C58="North",1,0)</f>
        <v>0</v>
      </c>
      <c r="P58">
        <f>IF(C58="South",1,0)</f>
        <v>0</v>
      </c>
      <c r="Q58">
        <f>IF(C58="West",1,0)</f>
        <v>0</v>
      </c>
      <c r="R58">
        <f>IF(D58="Airport",1,0)</f>
        <v>1</v>
      </c>
      <c r="S58">
        <f>IF(D58="High Street",1,0)</f>
        <v>0</v>
      </c>
      <c r="T58">
        <f>IF(D58="Mall",1,0)</f>
        <v>0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 s="3">
        <v>59405.68</v>
      </c>
      <c r="F59">
        <v>2515</v>
      </c>
      <c r="G59" s="4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 s="3">
        <v>500298.48</v>
      </c>
      <c r="N59" s="3">
        <v>73461.320000000007</v>
      </c>
      <c r="O59">
        <f>IF(C59="North",1,0)</f>
        <v>0</v>
      </c>
      <c r="P59">
        <f>IF(C59="South",1,0)</f>
        <v>0</v>
      </c>
      <c r="Q59">
        <f>IF(C59="West",1,0)</f>
        <v>0</v>
      </c>
      <c r="R59">
        <f>IF(D59="Airport",1,0)</f>
        <v>1</v>
      </c>
      <c r="S59">
        <f>IF(D59="High Street",1,0)</f>
        <v>0</v>
      </c>
      <c r="T59">
        <f>IF(D59="Mall",1,0)</f>
        <v>0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 s="3">
        <v>118910.48</v>
      </c>
      <c r="F60">
        <v>4022</v>
      </c>
      <c r="G60" s="4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 s="3">
        <v>617291.15</v>
      </c>
      <c r="N60" s="3">
        <v>117782</v>
      </c>
      <c r="O60">
        <f>IF(C60="North",1,0)</f>
        <v>0</v>
      </c>
      <c r="P60">
        <f>IF(C60="South",1,0)</f>
        <v>0</v>
      </c>
      <c r="Q60">
        <f>IF(C60="West",1,0)</f>
        <v>0</v>
      </c>
      <c r="R60">
        <f>IF(D60="Airport",1,0)</f>
        <v>1</v>
      </c>
      <c r="S60">
        <f>IF(D60="High Street",1,0)</f>
        <v>0</v>
      </c>
      <c r="T60">
        <f>IF(D60="Mall",1,0)</f>
        <v>0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 s="3">
        <v>52952.12</v>
      </c>
      <c r="F61">
        <v>4377</v>
      </c>
      <c r="G61" s="4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 s="3">
        <v>553756.43000000005</v>
      </c>
      <c r="N61" s="3">
        <v>86166.77</v>
      </c>
      <c r="O61">
        <f>IF(C61="North",1,0)</f>
        <v>0</v>
      </c>
      <c r="P61">
        <f>IF(C61="South",1,0)</f>
        <v>0</v>
      </c>
      <c r="Q61">
        <f>IF(C61="West",1,0)</f>
        <v>0</v>
      </c>
      <c r="R61">
        <f>IF(D61="Airport",1,0)</f>
        <v>1</v>
      </c>
      <c r="S61">
        <f>IF(D61="High Street",1,0)</f>
        <v>0</v>
      </c>
      <c r="T61">
        <f>IF(D61="Mall",1,0)</f>
        <v>0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 s="3">
        <v>74907.98</v>
      </c>
      <c r="F62">
        <v>5306</v>
      </c>
      <c r="G62" s="4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 s="3">
        <v>749559.71</v>
      </c>
      <c r="N62" s="3">
        <v>144522.53</v>
      </c>
      <c r="O62">
        <f>IF(C62="North",1,0)</f>
        <v>0</v>
      </c>
      <c r="P62">
        <f>IF(C62="South",1,0)</f>
        <v>1</v>
      </c>
      <c r="Q62">
        <f>IF(C62="West",1,0)</f>
        <v>0</v>
      </c>
      <c r="R62">
        <f>IF(D62="Airport",1,0)</f>
        <v>0</v>
      </c>
      <c r="S62">
        <f>IF(D62="High Street",1,0)</f>
        <v>1</v>
      </c>
      <c r="T62">
        <f>IF(D62="Mall",1,0)</f>
        <v>0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 s="3">
        <v>37284.660000000003</v>
      </c>
      <c r="F63">
        <v>3928</v>
      </c>
      <c r="G63" s="4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 s="3">
        <v>615966.48</v>
      </c>
      <c r="N63" s="3">
        <v>91509.38</v>
      </c>
      <c r="O63">
        <f>IF(C63="North",1,0)</f>
        <v>0</v>
      </c>
      <c r="P63">
        <f>IF(C63="South",1,0)</f>
        <v>1</v>
      </c>
      <c r="Q63">
        <f>IF(C63="West",1,0)</f>
        <v>0</v>
      </c>
      <c r="R63">
        <f>IF(D63="Airport",1,0)</f>
        <v>0</v>
      </c>
      <c r="S63">
        <f>IF(D63="High Street",1,0)</f>
        <v>1</v>
      </c>
      <c r="T63">
        <f>IF(D63="Mall",1,0)</f>
        <v>0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 s="3">
        <v>50343.19</v>
      </c>
      <c r="F64">
        <v>3845</v>
      </c>
      <c r="G64" s="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 s="3">
        <v>572011.19999999995</v>
      </c>
      <c r="N64" s="3">
        <v>101409.68</v>
      </c>
      <c r="O64">
        <f>IF(C64="North",1,0)</f>
        <v>0</v>
      </c>
      <c r="P64">
        <f>IF(C64="South",1,0)</f>
        <v>1</v>
      </c>
      <c r="Q64">
        <f>IF(C64="West",1,0)</f>
        <v>0</v>
      </c>
      <c r="R64">
        <f>IF(D64="Airport",1,0)</f>
        <v>0</v>
      </c>
      <c r="S64">
        <f>IF(D64="High Street",1,0)</f>
        <v>1</v>
      </c>
      <c r="T64">
        <f>IF(D64="Mall",1,0)</f>
        <v>0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 s="3">
        <v>74954.47</v>
      </c>
      <c r="F65">
        <v>6620</v>
      </c>
      <c r="G65" s="4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 s="3">
        <v>761860.19</v>
      </c>
      <c r="N65" s="3">
        <v>133279.38</v>
      </c>
      <c r="O65">
        <f>IF(C65="North",1,0)</f>
        <v>0</v>
      </c>
      <c r="P65">
        <f>IF(C65="South",1,0)</f>
        <v>1</v>
      </c>
      <c r="Q65">
        <f>IF(C65="West",1,0)</f>
        <v>0</v>
      </c>
      <c r="R65">
        <f>IF(D65="Airport",1,0)</f>
        <v>0</v>
      </c>
      <c r="S65">
        <f>IF(D65="High Street",1,0)</f>
        <v>1</v>
      </c>
      <c r="T65">
        <f>IF(D65="Mall",1,0)</f>
        <v>0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 s="3">
        <v>70040.31</v>
      </c>
      <c r="F66">
        <v>9175</v>
      </c>
      <c r="G66" s="4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 s="3">
        <v>784502.68</v>
      </c>
      <c r="N66" s="3">
        <v>129519.72</v>
      </c>
      <c r="O66">
        <f>IF(C66="North",1,0)</f>
        <v>0</v>
      </c>
      <c r="P66">
        <f>IF(C66="South",1,0)</f>
        <v>0</v>
      </c>
      <c r="Q66">
        <f>IF(C66="West",1,0)</f>
        <v>1</v>
      </c>
      <c r="R66">
        <f>IF(D66="Airport",1,0)</f>
        <v>0</v>
      </c>
      <c r="S66">
        <f>IF(D66="High Street",1,0)</f>
        <v>1</v>
      </c>
      <c r="T66">
        <f>IF(D66="Mall",1,0)</f>
        <v>0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 s="3">
        <v>51148.69</v>
      </c>
      <c r="F67">
        <v>7940</v>
      </c>
      <c r="G67" s="4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 s="3">
        <v>717141.55</v>
      </c>
      <c r="N67" s="3">
        <v>134013.60999999999</v>
      </c>
      <c r="O67">
        <f>IF(C67="North",1,0)</f>
        <v>0</v>
      </c>
      <c r="P67">
        <f>IF(C67="South",1,0)</f>
        <v>0</v>
      </c>
      <c r="Q67">
        <f>IF(C67="West",1,0)</f>
        <v>1</v>
      </c>
      <c r="R67">
        <f>IF(D67="Airport",1,0)</f>
        <v>0</v>
      </c>
      <c r="S67">
        <f>IF(D67="High Street",1,0)</f>
        <v>1</v>
      </c>
      <c r="T67">
        <f>IF(D67="Mall",1,0)</f>
        <v>0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 s="3">
        <v>79346.100000000006</v>
      </c>
      <c r="F68">
        <v>9628</v>
      </c>
      <c r="G68" s="4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 s="3">
        <v>685379.08</v>
      </c>
      <c r="N68" s="3">
        <v>106898.82</v>
      </c>
      <c r="O68">
        <f>IF(C68="North",1,0)</f>
        <v>0</v>
      </c>
      <c r="P68">
        <f>IF(C68="South",1,0)</f>
        <v>0</v>
      </c>
      <c r="Q68">
        <f>IF(C68="West",1,0)</f>
        <v>1</v>
      </c>
      <c r="R68">
        <f>IF(D68="Airport",1,0)</f>
        <v>0</v>
      </c>
      <c r="S68">
        <f>IF(D68="High Street",1,0)</f>
        <v>1</v>
      </c>
      <c r="T68">
        <f>IF(D68="Mall",1,0)</f>
        <v>0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 s="3">
        <v>42018.400000000001</v>
      </c>
      <c r="F69">
        <v>8296</v>
      </c>
      <c r="G69" s="4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 s="3">
        <v>740496.65</v>
      </c>
      <c r="N69" s="3">
        <v>128020.9</v>
      </c>
      <c r="O69">
        <f>IF(C69="North",1,0)</f>
        <v>0</v>
      </c>
      <c r="P69">
        <f>IF(C69="South",1,0)</f>
        <v>0</v>
      </c>
      <c r="Q69">
        <f>IF(C69="West",1,0)</f>
        <v>1</v>
      </c>
      <c r="R69">
        <f>IF(D69="Airport",1,0)</f>
        <v>0</v>
      </c>
      <c r="S69">
        <f>IF(D69="High Street",1,0)</f>
        <v>1</v>
      </c>
      <c r="T69">
        <f>IF(D69="Mall",1,0)</f>
        <v>0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 s="3">
        <v>70937.240000000005</v>
      </c>
      <c r="F70">
        <v>3595</v>
      </c>
      <c r="G70" s="4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 s="3">
        <v>661927.14</v>
      </c>
      <c r="N70" s="3">
        <v>79218.570000000007</v>
      </c>
      <c r="O70">
        <f>IF(C70="North",1,0)</f>
        <v>0</v>
      </c>
      <c r="P70">
        <f>IF(C70="South",1,0)</f>
        <v>0</v>
      </c>
      <c r="Q70">
        <f>IF(C70="West",1,0)</f>
        <v>0</v>
      </c>
      <c r="R70">
        <f>IF(D70="Airport",1,0)</f>
        <v>0</v>
      </c>
      <c r="S70">
        <f>IF(D70="High Street",1,0)</f>
        <v>1</v>
      </c>
      <c r="T70">
        <f>IF(D70="Mall",1,0)</f>
        <v>0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 s="3">
        <v>36813.449999999997</v>
      </c>
      <c r="F71">
        <v>2834</v>
      </c>
      <c r="G71" s="4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 s="3">
        <v>479050.5</v>
      </c>
      <c r="N71" s="3">
        <v>53651.11</v>
      </c>
      <c r="O71">
        <f>IF(C71="North",1,0)</f>
        <v>0</v>
      </c>
      <c r="P71">
        <f>IF(C71="South",1,0)</f>
        <v>0</v>
      </c>
      <c r="Q71">
        <f>IF(C71="West",1,0)</f>
        <v>0</v>
      </c>
      <c r="R71">
        <f>IF(D71="Airport",1,0)</f>
        <v>0</v>
      </c>
      <c r="S71">
        <f>IF(D71="High Street",1,0)</f>
        <v>1</v>
      </c>
      <c r="T71">
        <f>IF(D71="Mall",1,0)</f>
        <v>0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 s="3">
        <v>60571.82</v>
      </c>
      <c r="F72">
        <v>3193</v>
      </c>
      <c r="G72" s="4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 s="3">
        <v>605023.87</v>
      </c>
      <c r="N72" s="3">
        <v>98545.81</v>
      </c>
      <c r="O72">
        <f>IF(C72="North",1,0)</f>
        <v>0</v>
      </c>
      <c r="P72">
        <f>IF(C72="South",1,0)</f>
        <v>0</v>
      </c>
      <c r="Q72">
        <f>IF(C72="West",1,0)</f>
        <v>0</v>
      </c>
      <c r="R72">
        <f>IF(D72="Airport",1,0)</f>
        <v>0</v>
      </c>
      <c r="S72">
        <f>IF(D72="High Street",1,0)</f>
        <v>1</v>
      </c>
      <c r="T72">
        <f>IF(D72="Mall",1,0)</f>
        <v>0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 s="3">
        <v>55081.16</v>
      </c>
      <c r="F73">
        <v>5485</v>
      </c>
      <c r="G73" s="4">
        <v>3.5999999999999997E-2</v>
      </c>
      <c r="H73">
        <v>12</v>
      </c>
      <c r="I73">
        <v>88</v>
      </c>
      <c r="J73">
        <v>3.3650000000000002</v>
      </c>
      <c r="K73">
        <v>0</v>
      </c>
      <c r="L73">
        <v>3.5</v>
      </c>
      <c r="M73" s="3">
        <v>674774.09</v>
      </c>
      <c r="N73" s="3">
        <v>141917.59</v>
      </c>
      <c r="O73">
        <f>IF(C73="North",1,0)</f>
        <v>0</v>
      </c>
      <c r="P73">
        <f>IF(C73="South",1,0)</f>
        <v>0</v>
      </c>
      <c r="Q73">
        <f>IF(C73="West",1,0)</f>
        <v>0</v>
      </c>
      <c r="R73">
        <f>IF(D73="Airport",1,0)</f>
        <v>0</v>
      </c>
      <c r="S73">
        <f>IF(D73="High Street",1,0)</f>
        <v>1</v>
      </c>
      <c r="T73">
        <f>IF(D73="Mall",1,0)</f>
        <v>0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 s="3">
        <v>46201.46</v>
      </c>
      <c r="F74">
        <v>5918</v>
      </c>
      <c r="G74" s="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 s="3">
        <v>616069.41</v>
      </c>
      <c r="N74" s="3">
        <v>54453.99</v>
      </c>
      <c r="O74">
        <f>IF(C74="North",1,0)</f>
        <v>0</v>
      </c>
      <c r="P74">
        <f>IF(C74="South",1,0)</f>
        <v>0</v>
      </c>
      <c r="Q74">
        <f>IF(C74="West",1,0)</f>
        <v>0</v>
      </c>
      <c r="R74">
        <f>IF(D74="Airport",1,0)</f>
        <v>0</v>
      </c>
      <c r="S74">
        <f>IF(D74="High Street",1,0)</f>
        <v>0</v>
      </c>
      <c r="T74">
        <f>IF(D74="Mall",1,0)</f>
        <v>0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 s="3">
        <v>53762.92</v>
      </c>
      <c r="F75">
        <v>6821</v>
      </c>
      <c r="G75" s="4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 s="3">
        <v>630829.93999999994</v>
      </c>
      <c r="N75" s="3">
        <v>117090.02</v>
      </c>
      <c r="O75">
        <f>IF(C75="North",1,0)</f>
        <v>0</v>
      </c>
      <c r="P75">
        <f>IF(C75="South",1,0)</f>
        <v>0</v>
      </c>
      <c r="Q75">
        <f>IF(C75="West",1,0)</f>
        <v>0</v>
      </c>
      <c r="R75">
        <f>IF(D75="Airport",1,0)</f>
        <v>0</v>
      </c>
      <c r="S75">
        <f>IF(D75="High Street",1,0)</f>
        <v>0</v>
      </c>
      <c r="T75">
        <f>IF(D75="Mall",1,0)</f>
        <v>0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 s="3">
        <v>70144.78</v>
      </c>
      <c r="F76">
        <v>6806</v>
      </c>
      <c r="G76" s="4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 s="3">
        <v>788087.68</v>
      </c>
      <c r="N76" s="3">
        <v>116803.42</v>
      </c>
      <c r="O76">
        <f>IF(C76="North",1,0)</f>
        <v>0</v>
      </c>
      <c r="P76">
        <f>IF(C76="South",1,0)</f>
        <v>0</v>
      </c>
      <c r="Q76">
        <f>IF(C76="West",1,0)</f>
        <v>0</v>
      </c>
      <c r="R76">
        <f>IF(D76="Airport",1,0)</f>
        <v>0</v>
      </c>
      <c r="S76">
        <f>IF(D76="High Street",1,0)</f>
        <v>0</v>
      </c>
      <c r="T76">
        <f>IF(D76="Mall",1,0)</f>
        <v>0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 s="3">
        <v>58749.63</v>
      </c>
      <c r="F77">
        <v>8252</v>
      </c>
      <c r="G77" s="4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 s="3">
        <v>680840.36</v>
      </c>
      <c r="N77" s="3">
        <v>68007.679999999993</v>
      </c>
      <c r="O77">
        <f>IF(C77="North",1,0)</f>
        <v>0</v>
      </c>
      <c r="P77">
        <f>IF(C77="South",1,0)</f>
        <v>0</v>
      </c>
      <c r="Q77">
        <f>IF(C77="West",1,0)</f>
        <v>0</v>
      </c>
      <c r="R77">
        <f>IF(D77="Airport",1,0)</f>
        <v>0</v>
      </c>
      <c r="S77">
        <f>IF(D77="High Street",1,0)</f>
        <v>0</v>
      </c>
      <c r="T77">
        <f>IF(D77="Mall",1,0)</f>
        <v>0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 s="3">
        <v>56973.18</v>
      </c>
      <c r="F78">
        <v>6662</v>
      </c>
      <c r="G78" s="4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 s="3">
        <v>643657.47</v>
      </c>
      <c r="N78" s="3">
        <v>87022.45</v>
      </c>
      <c r="O78">
        <f>IF(C78="North",1,0)</f>
        <v>0</v>
      </c>
      <c r="P78">
        <f>IF(C78="South",1,0)</f>
        <v>1</v>
      </c>
      <c r="Q78">
        <f>IF(C78="West",1,0)</f>
        <v>0</v>
      </c>
      <c r="R78">
        <f>IF(D78="Airport",1,0)</f>
        <v>0</v>
      </c>
      <c r="S78">
        <f>IF(D78="High Street",1,0)</f>
        <v>1</v>
      </c>
      <c r="T78">
        <f>IF(D78="Mall",1,0)</f>
        <v>0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 s="3">
        <v>54872.82</v>
      </c>
      <c r="F79">
        <v>5962</v>
      </c>
      <c r="G79" s="4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 s="3">
        <v>691112.6</v>
      </c>
      <c r="N79" s="3">
        <v>109212.83</v>
      </c>
      <c r="O79">
        <f>IF(C79="North",1,0)</f>
        <v>0</v>
      </c>
      <c r="P79">
        <f>IF(C79="South",1,0)</f>
        <v>1</v>
      </c>
      <c r="Q79">
        <f>IF(C79="West",1,0)</f>
        <v>0</v>
      </c>
      <c r="R79">
        <f>IF(D79="Airport",1,0)</f>
        <v>0</v>
      </c>
      <c r="S79">
        <f>IF(D79="High Street",1,0)</f>
        <v>1</v>
      </c>
      <c r="T79">
        <f>IF(D79="Mall",1,0)</f>
        <v>0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 s="3">
        <v>80562.81</v>
      </c>
      <c r="F80">
        <v>7470</v>
      </c>
      <c r="G80" s="4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 s="3">
        <v>776922.17</v>
      </c>
      <c r="N80" s="3">
        <v>150701.93</v>
      </c>
      <c r="O80">
        <f>IF(C80="North",1,0)</f>
        <v>0</v>
      </c>
      <c r="P80">
        <f>IF(C80="South",1,0)</f>
        <v>1</v>
      </c>
      <c r="Q80">
        <f>IF(C80="West",1,0)</f>
        <v>0</v>
      </c>
      <c r="R80">
        <f>IF(D80="Airport",1,0)</f>
        <v>0</v>
      </c>
      <c r="S80">
        <f>IF(D80="High Street",1,0)</f>
        <v>1</v>
      </c>
      <c r="T80">
        <f>IF(D80="Mall",1,0)</f>
        <v>0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 s="3">
        <v>77999.899999999994</v>
      </c>
      <c r="F81">
        <v>5974</v>
      </c>
      <c r="G81" s="4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 s="3">
        <v>636561.34</v>
      </c>
      <c r="N81" s="3">
        <v>93861.06</v>
      </c>
      <c r="O81">
        <f>IF(C81="North",1,0)</f>
        <v>0</v>
      </c>
      <c r="P81">
        <f>IF(C81="South",1,0)</f>
        <v>1</v>
      </c>
      <c r="Q81">
        <f>IF(C81="West",1,0)</f>
        <v>0</v>
      </c>
      <c r="R81">
        <f>IF(D81="Airport",1,0)</f>
        <v>0</v>
      </c>
      <c r="S81">
        <f>IF(D81="High Street",1,0)</f>
        <v>1</v>
      </c>
      <c r="T81">
        <f>IF(D81="Mall",1,0)</f>
        <v>0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 s="3">
        <v>60881.01</v>
      </c>
      <c r="F82">
        <v>5410</v>
      </c>
      <c r="G82" s="4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 s="3">
        <v>621369.57999999996</v>
      </c>
      <c r="N82" s="3">
        <v>85493.64</v>
      </c>
      <c r="O82">
        <f>IF(C82="North",1,0)</f>
        <v>0</v>
      </c>
      <c r="P82">
        <f>IF(C82="South",1,0)</f>
        <v>0</v>
      </c>
      <c r="Q82">
        <f>IF(C82="West",1,0)</f>
        <v>1</v>
      </c>
      <c r="R82">
        <f>IF(D82="Airport",1,0)</f>
        <v>0</v>
      </c>
      <c r="S82">
        <f>IF(D82="High Street",1,0)</f>
        <v>0</v>
      </c>
      <c r="T82">
        <f>IF(D82="Mall",1,0)</f>
        <v>1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 s="3">
        <v>60628.38</v>
      </c>
      <c r="F83">
        <v>4451</v>
      </c>
      <c r="G83" s="4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 s="3">
        <v>682208.01</v>
      </c>
      <c r="N83" s="3">
        <v>110318.84</v>
      </c>
      <c r="O83">
        <f>IF(C83="North",1,0)</f>
        <v>0</v>
      </c>
      <c r="P83">
        <f>IF(C83="South",1,0)</f>
        <v>0</v>
      </c>
      <c r="Q83">
        <f>IF(C83="West",1,0)</f>
        <v>1</v>
      </c>
      <c r="R83">
        <f>IF(D83="Airport",1,0)</f>
        <v>0</v>
      </c>
      <c r="S83">
        <f>IF(D83="High Street",1,0)</f>
        <v>0</v>
      </c>
      <c r="T83">
        <f>IF(D83="Mall",1,0)</f>
        <v>1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 s="3">
        <v>72731.14</v>
      </c>
      <c r="F84">
        <v>4644</v>
      </c>
      <c r="G84" s="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 s="3">
        <v>727241.86</v>
      </c>
      <c r="N84" s="3">
        <v>155810.29999999999</v>
      </c>
      <c r="O84">
        <f>IF(C84="North",1,0)</f>
        <v>0</v>
      </c>
      <c r="P84">
        <f>IF(C84="South",1,0)</f>
        <v>0</v>
      </c>
      <c r="Q84">
        <f>IF(C84="West",1,0)</f>
        <v>1</v>
      </c>
      <c r="R84">
        <f>IF(D84="Airport",1,0)</f>
        <v>0</v>
      </c>
      <c r="S84">
        <f>IF(D84="High Street",1,0)</f>
        <v>0</v>
      </c>
      <c r="T84">
        <f>IF(D84="Mall",1,0)</f>
        <v>1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 s="3">
        <v>36475.71</v>
      </c>
      <c r="F85">
        <v>3559</v>
      </c>
      <c r="G85" s="4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 s="3">
        <v>569100.78</v>
      </c>
      <c r="N85" s="3">
        <v>104808.78</v>
      </c>
      <c r="O85">
        <f>IF(C85="North",1,0)</f>
        <v>0</v>
      </c>
      <c r="P85">
        <f>IF(C85="South",1,0)</f>
        <v>0</v>
      </c>
      <c r="Q85">
        <f>IF(C85="West",1,0)</f>
        <v>1</v>
      </c>
      <c r="R85">
        <f>IF(D85="Airport",1,0)</f>
        <v>0</v>
      </c>
      <c r="S85">
        <f>IF(D85="High Street",1,0)</f>
        <v>0</v>
      </c>
      <c r="T85">
        <f>IF(D85="Mall",1,0)</f>
        <v>1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 s="3">
        <v>55388.11</v>
      </c>
      <c r="F86">
        <v>3091</v>
      </c>
      <c r="G86" s="4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 s="3">
        <v>574436.29</v>
      </c>
      <c r="N86" s="3">
        <v>80271.990000000005</v>
      </c>
      <c r="O86">
        <f>IF(C86="North",1,0)</f>
        <v>0</v>
      </c>
      <c r="P86">
        <f>IF(C86="South",1,0)</f>
        <v>0</v>
      </c>
      <c r="Q86">
        <f>IF(C86="West",1,0)</f>
        <v>1</v>
      </c>
      <c r="R86">
        <f>IF(D86="Airport",1,0)</f>
        <v>0</v>
      </c>
      <c r="S86">
        <f>IF(D86="High Street",1,0)</f>
        <v>1</v>
      </c>
      <c r="T86">
        <f>IF(D86="Mall",1,0)</f>
        <v>0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 s="3">
        <v>88443.77</v>
      </c>
      <c r="F87">
        <v>4004</v>
      </c>
      <c r="G87" s="4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 s="3">
        <v>611766.72</v>
      </c>
      <c r="N87" s="3">
        <v>88275.61</v>
      </c>
      <c r="O87">
        <f>IF(C87="North",1,0)</f>
        <v>0</v>
      </c>
      <c r="P87">
        <f>IF(C87="South",1,0)</f>
        <v>0</v>
      </c>
      <c r="Q87">
        <f>IF(C87="West",1,0)</f>
        <v>1</v>
      </c>
      <c r="R87">
        <f>IF(D87="Airport",1,0)</f>
        <v>0</v>
      </c>
      <c r="S87">
        <f>IF(D87="High Street",1,0)</f>
        <v>1</v>
      </c>
      <c r="T87">
        <f>IF(D87="Mall",1,0)</f>
        <v>0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 s="3">
        <v>78231.91</v>
      </c>
      <c r="F88">
        <v>3788</v>
      </c>
      <c r="G88" s="4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 s="3">
        <v>614596.31999999995</v>
      </c>
      <c r="N88" s="3">
        <v>131199.41</v>
      </c>
      <c r="O88">
        <f>IF(C88="North",1,0)</f>
        <v>0</v>
      </c>
      <c r="P88">
        <f>IF(C88="South",1,0)</f>
        <v>0</v>
      </c>
      <c r="Q88">
        <f>IF(C88="West",1,0)</f>
        <v>1</v>
      </c>
      <c r="R88">
        <f>IF(D88="Airport",1,0)</f>
        <v>0</v>
      </c>
      <c r="S88">
        <f>IF(D88="High Street",1,0)</f>
        <v>1</v>
      </c>
      <c r="T88">
        <f>IF(D88="Mall",1,0)</f>
        <v>0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 s="3">
        <v>18996.32</v>
      </c>
      <c r="F89">
        <v>1260</v>
      </c>
      <c r="G89" s="4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 s="3">
        <v>450711.92</v>
      </c>
      <c r="N89" s="3">
        <v>90043.76</v>
      </c>
      <c r="O89">
        <f>IF(C89="North",1,0)</f>
        <v>0</v>
      </c>
      <c r="P89">
        <f>IF(C89="South",1,0)</f>
        <v>0</v>
      </c>
      <c r="Q89">
        <f>IF(C89="West",1,0)</f>
        <v>1</v>
      </c>
      <c r="R89">
        <f>IF(D89="Airport",1,0)</f>
        <v>0</v>
      </c>
      <c r="S89">
        <f>IF(D89="High Street",1,0)</f>
        <v>1</v>
      </c>
      <c r="T89">
        <f>IF(D89="Mall",1,0)</f>
        <v>0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 s="3">
        <v>50517.94</v>
      </c>
      <c r="F90">
        <v>7024</v>
      </c>
      <c r="G90" s="4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 s="3">
        <v>711213.46</v>
      </c>
      <c r="N90" s="3">
        <v>105863.26</v>
      </c>
      <c r="O90">
        <f>IF(C90="North",1,0)</f>
        <v>0</v>
      </c>
      <c r="P90">
        <f>IF(C90="South",1,0)</f>
        <v>1</v>
      </c>
      <c r="Q90">
        <f>IF(C90="West",1,0)</f>
        <v>0</v>
      </c>
      <c r="R90">
        <f>IF(D90="Airport",1,0)</f>
        <v>0</v>
      </c>
      <c r="S90">
        <f>IF(D90="High Street",1,0)</f>
        <v>0</v>
      </c>
      <c r="T90">
        <f>IF(D90="Mall",1,0)</f>
        <v>1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 s="3">
        <v>141540.29</v>
      </c>
      <c r="F91">
        <v>5400</v>
      </c>
      <c r="G91" s="4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 s="3">
        <v>627171.9</v>
      </c>
      <c r="N91" s="3">
        <v>105772.75</v>
      </c>
      <c r="O91">
        <f>IF(C91="North",1,0)</f>
        <v>0</v>
      </c>
      <c r="P91">
        <f>IF(C91="South",1,0)</f>
        <v>1</v>
      </c>
      <c r="Q91">
        <f>IF(C91="West",1,0)</f>
        <v>0</v>
      </c>
      <c r="R91">
        <f>IF(D91="Airport",1,0)</f>
        <v>0</v>
      </c>
      <c r="S91">
        <f>IF(D91="High Street",1,0)</f>
        <v>0</v>
      </c>
      <c r="T91">
        <f>IF(D91="Mall",1,0)</f>
        <v>1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 s="3">
        <v>82116.19</v>
      </c>
      <c r="F92">
        <v>5988</v>
      </c>
      <c r="G92" s="4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 s="3">
        <v>739852.58</v>
      </c>
      <c r="N92" s="3">
        <v>129386.43</v>
      </c>
      <c r="O92">
        <f>IF(C92="North",1,0)</f>
        <v>0</v>
      </c>
      <c r="P92">
        <f>IF(C92="South",1,0)</f>
        <v>1</v>
      </c>
      <c r="Q92">
        <f>IF(C92="West",1,0)</f>
        <v>0</v>
      </c>
      <c r="R92">
        <f>IF(D92="Airport",1,0)</f>
        <v>0</v>
      </c>
      <c r="S92">
        <f>IF(D92="High Street",1,0)</f>
        <v>0</v>
      </c>
      <c r="T92">
        <f>IF(D92="Mall",1,0)</f>
        <v>1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 s="3">
        <v>31207.51</v>
      </c>
      <c r="F93">
        <v>3701</v>
      </c>
      <c r="G93" s="4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 s="3">
        <v>586307.22</v>
      </c>
      <c r="N93" s="3">
        <v>73927.850000000006</v>
      </c>
      <c r="O93">
        <f>IF(C93="North",1,0)</f>
        <v>0</v>
      </c>
      <c r="P93">
        <f>IF(C93="South",1,0)</f>
        <v>1</v>
      </c>
      <c r="Q93">
        <f>IF(C93="West",1,0)</f>
        <v>0</v>
      </c>
      <c r="R93">
        <f>IF(D93="Airport",1,0)</f>
        <v>0</v>
      </c>
      <c r="S93">
        <f>IF(D93="High Street",1,0)</f>
        <v>0</v>
      </c>
      <c r="T93">
        <f>IF(D93="Mall",1,0)</f>
        <v>1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 s="3">
        <v>38966.589999999997</v>
      </c>
      <c r="F94">
        <v>4509</v>
      </c>
      <c r="G94" s="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 s="3">
        <v>585937.48</v>
      </c>
      <c r="N94" s="3">
        <v>82624.2</v>
      </c>
      <c r="O94">
        <f>IF(C94="North",1,0)</f>
        <v>0</v>
      </c>
      <c r="P94">
        <f>IF(C94="South",1,0)</f>
        <v>0</v>
      </c>
      <c r="Q94">
        <f>IF(C94="West",1,0)</f>
        <v>1</v>
      </c>
      <c r="R94">
        <f>IF(D94="Airport",1,0)</f>
        <v>0</v>
      </c>
      <c r="S94">
        <f>IF(D94="High Street",1,0)</f>
        <v>0</v>
      </c>
      <c r="T94">
        <f>IF(D94="Mall",1,0)</f>
        <v>0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 s="3">
        <v>67439.3</v>
      </c>
      <c r="F95">
        <v>6477</v>
      </c>
      <c r="G95" s="4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 s="3">
        <v>753473.55</v>
      </c>
      <c r="N95" s="3">
        <v>151527.22</v>
      </c>
      <c r="O95">
        <f>IF(C95="North",1,0)</f>
        <v>0</v>
      </c>
      <c r="P95">
        <f>IF(C95="South",1,0)</f>
        <v>0</v>
      </c>
      <c r="Q95">
        <f>IF(C95="West",1,0)</f>
        <v>1</v>
      </c>
      <c r="R95">
        <f>IF(D95="Airport",1,0)</f>
        <v>0</v>
      </c>
      <c r="S95">
        <f>IF(D95="High Street",1,0)</f>
        <v>0</v>
      </c>
      <c r="T95">
        <f>IF(D95="Mall",1,0)</f>
        <v>0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 s="3">
        <v>86421.88</v>
      </c>
      <c r="F96">
        <v>7970</v>
      </c>
      <c r="G96" s="4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 s="3">
        <v>838250.32</v>
      </c>
      <c r="N96" s="3">
        <v>122939.34</v>
      </c>
      <c r="O96">
        <f>IF(C96="North",1,0)</f>
        <v>0</v>
      </c>
      <c r="P96">
        <f>IF(C96="South",1,0)</f>
        <v>0</v>
      </c>
      <c r="Q96">
        <f>IF(C96="West",1,0)</f>
        <v>1</v>
      </c>
      <c r="R96">
        <f>IF(D96="Airport",1,0)</f>
        <v>0</v>
      </c>
      <c r="S96">
        <f>IF(D96="High Street",1,0)</f>
        <v>0</v>
      </c>
      <c r="T96">
        <f>IF(D96="Mall",1,0)</f>
        <v>0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 s="3">
        <v>9534.65</v>
      </c>
      <c r="F97">
        <v>6057</v>
      </c>
      <c r="G97" s="4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 s="3">
        <v>607898.12</v>
      </c>
      <c r="N97" s="3">
        <v>135404.85</v>
      </c>
      <c r="O97">
        <f>IF(C97="North",1,0)</f>
        <v>0</v>
      </c>
      <c r="P97">
        <f>IF(C97="South",1,0)</f>
        <v>0</v>
      </c>
      <c r="Q97">
        <f>IF(C97="West",1,0)</f>
        <v>1</v>
      </c>
      <c r="R97">
        <f>IF(D97="Airport",1,0)</f>
        <v>0</v>
      </c>
      <c r="S97">
        <f>IF(D97="High Street",1,0)</f>
        <v>0</v>
      </c>
      <c r="T97">
        <f>IF(D97="Mall",1,0)</f>
        <v>0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 s="3">
        <v>61132.07</v>
      </c>
      <c r="F98">
        <v>6394</v>
      </c>
      <c r="G98" s="4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 s="3">
        <v>691113.62</v>
      </c>
      <c r="N98" s="3">
        <v>135145.44</v>
      </c>
      <c r="O98">
        <f>IF(C98="North",1,0)</f>
        <v>0</v>
      </c>
      <c r="P98">
        <f>IF(C98="South",1,0)</f>
        <v>0</v>
      </c>
      <c r="Q98">
        <f>IF(C98="West",1,0)</f>
        <v>1</v>
      </c>
      <c r="R98">
        <f>IF(D98="Airport",1,0)</f>
        <v>0</v>
      </c>
      <c r="S98">
        <f>IF(D98="High Street",1,0)</f>
        <v>0</v>
      </c>
      <c r="T98">
        <f>IF(D98="Mall",1,0)</f>
        <v>1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 s="3">
        <v>78839.39</v>
      </c>
      <c r="F99">
        <v>5150</v>
      </c>
      <c r="G99" s="4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 s="3">
        <v>735509.4</v>
      </c>
      <c r="N99" s="3">
        <v>83895.96</v>
      </c>
      <c r="O99">
        <f>IF(C99="North",1,0)</f>
        <v>0</v>
      </c>
      <c r="P99">
        <f>IF(C99="South",1,0)</f>
        <v>0</v>
      </c>
      <c r="Q99">
        <f>IF(C99="West",1,0)</f>
        <v>1</v>
      </c>
      <c r="R99">
        <f>IF(D99="Airport",1,0)</f>
        <v>0</v>
      </c>
      <c r="S99">
        <f>IF(D99="High Street",1,0)</f>
        <v>0</v>
      </c>
      <c r="T99">
        <f>IF(D99="Mall",1,0)</f>
        <v>1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 s="3">
        <v>38752.800000000003</v>
      </c>
      <c r="F100">
        <v>4712</v>
      </c>
      <c r="G100" s="4">
        <v>7.4999999999999997E-2</v>
      </c>
      <c r="H100">
        <v>15</v>
      </c>
      <c r="I100">
        <v>89.7</v>
      </c>
      <c r="J100">
        <v>3.3650000000000002</v>
      </c>
      <c r="K100">
        <v>0</v>
      </c>
      <c r="L100">
        <v>4.3</v>
      </c>
      <c r="M100" s="3">
        <v>605775.32999999996</v>
      </c>
      <c r="N100" s="3">
        <v>107194.6</v>
      </c>
      <c r="O100">
        <f>IF(C100="North",1,0)</f>
        <v>0</v>
      </c>
      <c r="P100">
        <f>IF(C100="South",1,0)</f>
        <v>0</v>
      </c>
      <c r="Q100">
        <f>IF(C100="West",1,0)</f>
        <v>1</v>
      </c>
      <c r="R100">
        <f>IF(D100="Airport",1,0)</f>
        <v>0</v>
      </c>
      <c r="S100">
        <f>IF(D100="High Street",1,0)</f>
        <v>0</v>
      </c>
      <c r="T100">
        <f>IF(D100="Mall",1,0)</f>
        <v>1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 s="3">
        <v>55101.1</v>
      </c>
      <c r="F101">
        <v>5281</v>
      </c>
      <c r="G101" s="4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 s="3">
        <v>675177.68</v>
      </c>
      <c r="N101" s="3">
        <v>105628.68</v>
      </c>
      <c r="O101">
        <f>IF(C101="North",1,0)</f>
        <v>0</v>
      </c>
      <c r="P101">
        <f>IF(C101="South",1,0)</f>
        <v>0</v>
      </c>
      <c r="Q101">
        <f>IF(C101="West",1,0)</f>
        <v>1</v>
      </c>
      <c r="R101">
        <f>IF(D101="Airport",1,0)</f>
        <v>0</v>
      </c>
      <c r="S101">
        <f>IF(D101="High Street",1,0)</f>
        <v>0</v>
      </c>
      <c r="T101">
        <f>IF(D101="Mall",1,0)</f>
        <v>1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 s="3">
        <v>53084.76</v>
      </c>
      <c r="F102">
        <v>3642</v>
      </c>
      <c r="G102" s="4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 s="3">
        <v>635181.35</v>
      </c>
      <c r="N102" s="3">
        <v>83341.25</v>
      </c>
      <c r="O102">
        <f>IF(C102="North",1,0)</f>
        <v>0</v>
      </c>
      <c r="P102">
        <f>IF(C102="South",1,0)</f>
        <v>0</v>
      </c>
      <c r="Q102">
        <f>IF(C102="West",1,0)</f>
        <v>0</v>
      </c>
      <c r="R102">
        <f>IF(D102="Airport",1,0)</f>
        <v>0</v>
      </c>
      <c r="S102">
        <f>IF(D102="High Street",1,0)</f>
        <v>0</v>
      </c>
      <c r="T102">
        <f>IF(D102="Mall",1,0)</f>
        <v>1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 s="3">
        <v>63101.59</v>
      </c>
      <c r="F103">
        <v>4373</v>
      </c>
      <c r="G103" s="4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 s="3">
        <v>586626.93999999994</v>
      </c>
      <c r="N103" s="3">
        <v>86498.55</v>
      </c>
      <c r="O103">
        <f>IF(C103="North",1,0)</f>
        <v>0</v>
      </c>
      <c r="P103">
        <f>IF(C103="South",1,0)</f>
        <v>0</v>
      </c>
      <c r="Q103">
        <f>IF(C103="West",1,0)</f>
        <v>0</v>
      </c>
      <c r="R103">
        <f>IF(D103="Airport",1,0)</f>
        <v>0</v>
      </c>
      <c r="S103">
        <f>IF(D103="High Street",1,0)</f>
        <v>0</v>
      </c>
      <c r="T103">
        <f>IF(D103="Mall",1,0)</f>
        <v>1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 s="3">
        <v>90084.4</v>
      </c>
      <c r="F104">
        <v>6832</v>
      </c>
      <c r="G104" s="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 s="3">
        <v>740102.64</v>
      </c>
      <c r="N104" s="3">
        <v>114299.07</v>
      </c>
      <c r="O104">
        <f>IF(C104="North",1,0)</f>
        <v>0</v>
      </c>
      <c r="P104">
        <f>IF(C104="South",1,0)</f>
        <v>0</v>
      </c>
      <c r="Q104">
        <f>IF(C104="West",1,0)</f>
        <v>0</v>
      </c>
      <c r="R104">
        <f>IF(D104="Airport",1,0)</f>
        <v>0</v>
      </c>
      <c r="S104">
        <f>IF(D104="High Street",1,0)</f>
        <v>0</v>
      </c>
      <c r="T104">
        <f>IF(D104="Mall",1,0)</f>
        <v>1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 s="3">
        <v>32266.639999999999</v>
      </c>
      <c r="F105">
        <v>2414</v>
      </c>
      <c r="G105" s="4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 s="3">
        <v>625514.04</v>
      </c>
      <c r="N105" s="3">
        <v>120685.08</v>
      </c>
      <c r="O105">
        <f>IF(C105="North",1,0)</f>
        <v>0</v>
      </c>
      <c r="P105">
        <f>IF(C105="South",1,0)</f>
        <v>0</v>
      </c>
      <c r="Q105">
        <f>IF(C105="West",1,0)</f>
        <v>0</v>
      </c>
      <c r="R105">
        <f>IF(D105="Airport",1,0)</f>
        <v>0</v>
      </c>
      <c r="S105">
        <f>IF(D105="High Street",1,0)</f>
        <v>0</v>
      </c>
      <c r="T105">
        <f>IF(D105="Mall",1,0)</f>
        <v>1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 s="3">
        <v>57919.07</v>
      </c>
      <c r="F106">
        <v>7374</v>
      </c>
      <c r="G106" s="4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 s="3">
        <v>727227.2</v>
      </c>
      <c r="N106" s="3">
        <v>121292.01</v>
      </c>
      <c r="O106">
        <f>IF(C106="North",1,0)</f>
        <v>0</v>
      </c>
      <c r="P106">
        <f>IF(C106="South",1,0)</f>
        <v>0</v>
      </c>
      <c r="Q106">
        <f>IF(C106="West",1,0)</f>
        <v>1</v>
      </c>
      <c r="R106">
        <f>IF(D106="Airport",1,0)</f>
        <v>0</v>
      </c>
      <c r="S106">
        <f>IF(D106="High Street",1,0)</f>
        <v>1</v>
      </c>
      <c r="T106">
        <f>IF(D106="Mall",1,0)</f>
        <v>0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 s="3">
        <v>74679.350000000006</v>
      </c>
      <c r="F107">
        <v>8739</v>
      </c>
      <c r="G107" s="4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 s="3">
        <v>783797.89</v>
      </c>
      <c r="N107" s="3">
        <v>157620.70000000001</v>
      </c>
      <c r="O107">
        <f>IF(C107="North",1,0)</f>
        <v>0</v>
      </c>
      <c r="P107">
        <f>IF(C107="South",1,0)</f>
        <v>0</v>
      </c>
      <c r="Q107">
        <f>IF(C107="West",1,0)</f>
        <v>1</v>
      </c>
      <c r="R107">
        <f>IF(D107="Airport",1,0)</f>
        <v>0</v>
      </c>
      <c r="S107">
        <f>IF(D107="High Street",1,0)</f>
        <v>1</v>
      </c>
      <c r="T107">
        <f>IF(D107="Mall",1,0)</f>
        <v>0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 s="3">
        <v>64294.23</v>
      </c>
      <c r="F108">
        <v>6992</v>
      </c>
      <c r="G108" s="4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 s="3">
        <v>795153.84</v>
      </c>
      <c r="N108" s="3">
        <v>143194.21</v>
      </c>
      <c r="O108">
        <f>IF(C108="North",1,0)</f>
        <v>0</v>
      </c>
      <c r="P108">
        <f>IF(C108="South",1,0)</f>
        <v>0</v>
      </c>
      <c r="Q108">
        <f>IF(C108="West",1,0)</f>
        <v>1</v>
      </c>
      <c r="R108">
        <f>IF(D108="Airport",1,0)</f>
        <v>0</v>
      </c>
      <c r="S108">
        <f>IF(D108="High Street",1,0)</f>
        <v>1</v>
      </c>
      <c r="T108">
        <f>IF(D108="Mall",1,0)</f>
        <v>0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 s="3">
        <v>31042.03</v>
      </c>
      <c r="F109">
        <v>7107</v>
      </c>
      <c r="G109" s="4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 s="3">
        <v>665594.93999999994</v>
      </c>
      <c r="N109" s="3">
        <v>127597.34</v>
      </c>
      <c r="O109">
        <f>IF(C109="North",1,0)</f>
        <v>0</v>
      </c>
      <c r="P109">
        <f>IF(C109="South",1,0)</f>
        <v>0</v>
      </c>
      <c r="Q109">
        <f>IF(C109="West",1,0)</f>
        <v>1</v>
      </c>
      <c r="R109">
        <f>IF(D109="Airport",1,0)</f>
        <v>0</v>
      </c>
      <c r="S109">
        <f>IF(D109="High Street",1,0)</f>
        <v>1</v>
      </c>
      <c r="T109">
        <f>IF(D109="Mall",1,0)</f>
        <v>0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 s="3">
        <v>75265.02</v>
      </c>
      <c r="F110">
        <v>6975</v>
      </c>
      <c r="G110" s="4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 s="3">
        <v>709478.39</v>
      </c>
      <c r="N110" s="3">
        <v>71294.27</v>
      </c>
      <c r="O110">
        <f>IF(C110="North",1,0)</f>
        <v>0</v>
      </c>
      <c r="P110">
        <f>IF(C110="South",1,0)</f>
        <v>0</v>
      </c>
      <c r="Q110">
        <f>IF(C110="West",1,0)</f>
        <v>0</v>
      </c>
      <c r="R110">
        <f>IF(D110="Airport",1,0)</f>
        <v>0</v>
      </c>
      <c r="S110">
        <f>IF(D110="High Street",1,0)</f>
        <v>0</v>
      </c>
      <c r="T110">
        <f>IF(D110="Mall",1,0)</f>
        <v>1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 s="3">
        <v>69411.7</v>
      </c>
      <c r="F111">
        <v>5493</v>
      </c>
      <c r="G111" s="4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 s="3">
        <v>664162.49</v>
      </c>
      <c r="N111" s="3">
        <v>98291.06</v>
      </c>
      <c r="O111">
        <f>IF(C111="North",1,0)</f>
        <v>0</v>
      </c>
      <c r="P111">
        <f>IF(C111="South",1,0)</f>
        <v>0</v>
      </c>
      <c r="Q111">
        <f>IF(C111="West",1,0)</f>
        <v>0</v>
      </c>
      <c r="R111">
        <f>IF(D111="Airport",1,0)</f>
        <v>0</v>
      </c>
      <c r="S111">
        <f>IF(D111="High Street",1,0)</f>
        <v>0</v>
      </c>
      <c r="T111">
        <f>IF(D111="Mall",1,0)</f>
        <v>1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 s="3">
        <v>51056.15</v>
      </c>
      <c r="F112">
        <v>5686</v>
      </c>
      <c r="G112" s="4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 s="3">
        <v>633494.21</v>
      </c>
      <c r="N112" s="3">
        <v>105739.47</v>
      </c>
      <c r="O112">
        <f>IF(C112="North",1,0)</f>
        <v>0</v>
      </c>
      <c r="P112">
        <f>IF(C112="South",1,0)</f>
        <v>0</v>
      </c>
      <c r="Q112">
        <f>IF(C112="West",1,0)</f>
        <v>0</v>
      </c>
      <c r="R112">
        <f>IF(D112="Airport",1,0)</f>
        <v>0</v>
      </c>
      <c r="S112">
        <f>IF(D112="High Street",1,0)</f>
        <v>0</v>
      </c>
      <c r="T112">
        <f>IF(D112="Mall",1,0)</f>
        <v>1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 s="3">
        <v>52758.01</v>
      </c>
      <c r="F113">
        <v>4063</v>
      </c>
      <c r="G113" s="4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 s="3">
        <v>713611.16</v>
      </c>
      <c r="N113" s="3">
        <v>129717.18</v>
      </c>
      <c r="O113">
        <f>IF(C113="North",1,0)</f>
        <v>0</v>
      </c>
      <c r="P113">
        <f>IF(C113="South",1,0)</f>
        <v>0</v>
      </c>
      <c r="Q113">
        <f>IF(C113="West",1,0)</f>
        <v>0</v>
      </c>
      <c r="R113">
        <f>IF(D113="Airport",1,0)</f>
        <v>0</v>
      </c>
      <c r="S113">
        <f>IF(D113="High Street",1,0)</f>
        <v>0</v>
      </c>
      <c r="T113">
        <f>IF(D113="Mall",1,0)</f>
        <v>1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 s="3">
        <v>61426.04</v>
      </c>
      <c r="F114">
        <v>8966</v>
      </c>
      <c r="G114" s="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 s="3">
        <v>778397.97</v>
      </c>
      <c r="N114" s="3">
        <v>120044.41</v>
      </c>
      <c r="O114">
        <f>IF(C114="North",1,0)</f>
        <v>0</v>
      </c>
      <c r="P114">
        <f>IF(C114="South",1,0)</f>
        <v>0</v>
      </c>
      <c r="Q114">
        <f>IF(C114="West",1,0)</f>
        <v>1</v>
      </c>
      <c r="R114">
        <f>IF(D114="Airport",1,0)</f>
        <v>0</v>
      </c>
      <c r="S114">
        <f>IF(D114="High Street",1,0)</f>
        <v>0</v>
      </c>
      <c r="T114">
        <f>IF(D114="Mall",1,0)</f>
        <v>1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 s="3">
        <v>80176.34</v>
      </c>
      <c r="F115">
        <v>9489</v>
      </c>
      <c r="G115" s="4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 s="3">
        <v>873380.02</v>
      </c>
      <c r="N115" s="3">
        <v>149734.76</v>
      </c>
      <c r="O115">
        <f>IF(C115="North",1,0)</f>
        <v>0</v>
      </c>
      <c r="P115">
        <f>IF(C115="South",1,0)</f>
        <v>0</v>
      </c>
      <c r="Q115">
        <f>IF(C115="West",1,0)</f>
        <v>1</v>
      </c>
      <c r="R115">
        <f>IF(D115="Airport",1,0)</f>
        <v>0</v>
      </c>
      <c r="S115">
        <f>IF(D115="High Street",1,0)</f>
        <v>0</v>
      </c>
      <c r="T115">
        <f>IF(D115="Mall",1,0)</f>
        <v>1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 s="3">
        <v>33605.18</v>
      </c>
      <c r="F116">
        <v>9225</v>
      </c>
      <c r="G116" s="4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 s="3">
        <v>697287.9</v>
      </c>
      <c r="N116" s="3">
        <v>128208.33</v>
      </c>
      <c r="O116">
        <f>IF(C116="North",1,0)</f>
        <v>0</v>
      </c>
      <c r="P116">
        <f>IF(C116="South",1,0)</f>
        <v>0</v>
      </c>
      <c r="Q116">
        <f>IF(C116="West",1,0)</f>
        <v>1</v>
      </c>
      <c r="R116">
        <f>IF(D116="Airport",1,0)</f>
        <v>0</v>
      </c>
      <c r="S116">
        <f>IF(D116="High Street",1,0)</f>
        <v>0</v>
      </c>
      <c r="T116">
        <f>IF(D116="Mall",1,0)</f>
        <v>1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 s="3">
        <v>25990.54</v>
      </c>
      <c r="F117">
        <v>9249</v>
      </c>
      <c r="G117" s="4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 s="3">
        <v>718074.79</v>
      </c>
      <c r="N117" s="3">
        <v>115819.87</v>
      </c>
      <c r="O117">
        <f>IF(C117="North",1,0)</f>
        <v>0</v>
      </c>
      <c r="P117">
        <f>IF(C117="South",1,0)</f>
        <v>0</v>
      </c>
      <c r="Q117">
        <f>IF(C117="West",1,0)</f>
        <v>1</v>
      </c>
      <c r="R117">
        <f>IF(D117="Airport",1,0)</f>
        <v>0</v>
      </c>
      <c r="S117">
        <f>IF(D117="High Street",1,0)</f>
        <v>0</v>
      </c>
      <c r="T117">
        <f>IF(D117="Mall",1,0)</f>
        <v>1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 s="3">
        <v>43685.14</v>
      </c>
      <c r="F118">
        <v>7821</v>
      </c>
      <c r="G118" s="4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 s="3">
        <v>714942.43</v>
      </c>
      <c r="N118" s="3">
        <v>94697.71</v>
      </c>
      <c r="O118">
        <f>IF(C118="North",1,0)</f>
        <v>0</v>
      </c>
      <c r="P118">
        <f>IF(C118="South",1,0)</f>
        <v>0</v>
      </c>
      <c r="Q118">
        <f>IF(C118="West",1,0)</f>
        <v>1</v>
      </c>
      <c r="R118">
        <f>IF(D118="Airport",1,0)</f>
        <v>0</v>
      </c>
      <c r="S118">
        <f>IF(D118="High Street",1,0)</f>
        <v>0</v>
      </c>
      <c r="T118">
        <f>IF(D118="Mall",1,0)</f>
        <v>0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 s="3">
        <v>57360.01</v>
      </c>
      <c r="F119">
        <v>8434</v>
      </c>
      <c r="G119" s="4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 s="3">
        <v>820519.04</v>
      </c>
      <c r="N119" s="3">
        <v>99035.88</v>
      </c>
      <c r="O119">
        <f>IF(C119="North",1,0)</f>
        <v>0</v>
      </c>
      <c r="P119">
        <f>IF(C119="South",1,0)</f>
        <v>0</v>
      </c>
      <c r="Q119">
        <f>IF(C119="West",1,0)</f>
        <v>1</v>
      </c>
      <c r="R119">
        <f>IF(D119="Airport",1,0)</f>
        <v>0</v>
      </c>
      <c r="S119">
        <f>IF(D119="High Street",1,0)</f>
        <v>0</v>
      </c>
      <c r="T119">
        <f>IF(D119="Mall",1,0)</f>
        <v>0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 s="3">
        <v>42415.47</v>
      </c>
      <c r="F120">
        <v>8512</v>
      </c>
      <c r="G120" s="4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 s="3">
        <v>684217.32</v>
      </c>
      <c r="N120" s="3">
        <v>136217.19</v>
      </c>
      <c r="O120">
        <f>IF(C120="North",1,0)</f>
        <v>0</v>
      </c>
      <c r="P120">
        <f>IF(C120="South",1,0)</f>
        <v>0</v>
      </c>
      <c r="Q120">
        <f>IF(C120="West",1,0)</f>
        <v>1</v>
      </c>
      <c r="R120">
        <f>IF(D120="Airport",1,0)</f>
        <v>0</v>
      </c>
      <c r="S120">
        <f>IF(D120="High Street",1,0)</f>
        <v>0</v>
      </c>
      <c r="T120">
        <f>IF(D120="Mall",1,0)</f>
        <v>0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 s="3">
        <v>54968.98</v>
      </c>
      <c r="F121">
        <v>7816</v>
      </c>
      <c r="G121" s="4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 s="3">
        <v>735480.19</v>
      </c>
      <c r="N121" s="3">
        <v>88342.11</v>
      </c>
      <c r="O121">
        <f>IF(C121="North",1,0)</f>
        <v>0</v>
      </c>
      <c r="P121">
        <f>IF(C121="South",1,0)</f>
        <v>0</v>
      </c>
      <c r="Q121">
        <f>IF(C121="West",1,0)</f>
        <v>1</v>
      </c>
      <c r="R121">
        <f>IF(D121="Airport",1,0)</f>
        <v>0</v>
      </c>
      <c r="S121">
        <f>IF(D121="High Street",1,0)</f>
        <v>0</v>
      </c>
      <c r="T121">
        <f>IF(D121="Mall",1,0)</f>
        <v>0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 s="3">
        <v>43896.13</v>
      </c>
      <c r="F122">
        <v>3853</v>
      </c>
      <c r="G122" s="4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 s="3">
        <v>509484.81</v>
      </c>
      <c r="N122" s="3">
        <v>85742.36</v>
      </c>
      <c r="O122">
        <f>IF(C122="North",1,0)</f>
        <v>1</v>
      </c>
      <c r="P122">
        <f>IF(C122="South",1,0)</f>
        <v>0</v>
      </c>
      <c r="Q122">
        <f>IF(C122="West",1,0)</f>
        <v>0</v>
      </c>
      <c r="R122">
        <f>IF(D122="Airport",1,0)</f>
        <v>0</v>
      </c>
      <c r="S122">
        <f>IF(D122="High Street",1,0)</f>
        <v>1</v>
      </c>
      <c r="T122">
        <f>IF(D122="Mall",1,0)</f>
        <v>0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 s="3">
        <v>83044.17</v>
      </c>
      <c r="F123">
        <v>3694</v>
      </c>
      <c r="G123" s="4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 s="3">
        <v>654317.09</v>
      </c>
      <c r="N123" s="3">
        <v>121446.89</v>
      </c>
      <c r="O123">
        <f>IF(C123="North",1,0)</f>
        <v>1</v>
      </c>
      <c r="P123">
        <f>IF(C123="South",1,0)</f>
        <v>0</v>
      </c>
      <c r="Q123">
        <f>IF(C123="West",1,0)</f>
        <v>0</v>
      </c>
      <c r="R123">
        <f>IF(D123="Airport",1,0)</f>
        <v>0</v>
      </c>
      <c r="S123">
        <f>IF(D123="High Street",1,0)</f>
        <v>1</v>
      </c>
      <c r="T123">
        <f>IF(D123="Mall",1,0)</f>
        <v>0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 s="3">
        <v>48396.13</v>
      </c>
      <c r="F124">
        <v>4423</v>
      </c>
      <c r="G124" s="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 s="3">
        <v>557487.26</v>
      </c>
      <c r="N124" s="3">
        <v>76432.19</v>
      </c>
      <c r="O124">
        <f>IF(C124="North",1,0)</f>
        <v>1</v>
      </c>
      <c r="P124">
        <f>IF(C124="South",1,0)</f>
        <v>0</v>
      </c>
      <c r="Q124">
        <f>IF(C124="West",1,0)</f>
        <v>0</v>
      </c>
      <c r="R124">
        <f>IF(D124="Airport",1,0)</f>
        <v>0</v>
      </c>
      <c r="S124">
        <f>IF(D124="High Street",1,0)</f>
        <v>1</v>
      </c>
      <c r="T124">
        <f>IF(D124="Mall",1,0)</f>
        <v>0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 s="3">
        <v>19063.48</v>
      </c>
      <c r="F125">
        <v>1906</v>
      </c>
      <c r="G125" s="4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 s="3">
        <v>441275.42</v>
      </c>
      <c r="N125" s="3">
        <v>58234.87</v>
      </c>
      <c r="O125">
        <f>IF(C125="North",1,0)</f>
        <v>1</v>
      </c>
      <c r="P125">
        <f>IF(C125="South",1,0)</f>
        <v>0</v>
      </c>
      <c r="Q125">
        <f>IF(C125="West",1,0)</f>
        <v>0</v>
      </c>
      <c r="R125">
        <f>IF(D125="Airport",1,0)</f>
        <v>0</v>
      </c>
      <c r="S125">
        <f>IF(D125="High Street",1,0)</f>
        <v>1</v>
      </c>
      <c r="T125">
        <f>IF(D125="Mall",1,0)</f>
        <v>0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 s="3">
        <v>61541.21</v>
      </c>
      <c r="F126">
        <v>10396</v>
      </c>
      <c r="G126" s="4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 s="3">
        <v>914544.17</v>
      </c>
      <c r="N126" s="3">
        <v>79831.73</v>
      </c>
      <c r="O126">
        <f>IF(C126="North",1,0)</f>
        <v>0</v>
      </c>
      <c r="P126">
        <f>IF(C126="South",1,0)</f>
        <v>1</v>
      </c>
      <c r="Q126">
        <f>IF(C126="West",1,0)</f>
        <v>0</v>
      </c>
      <c r="R126">
        <f>IF(D126="Airport",1,0)</f>
        <v>0</v>
      </c>
      <c r="S126">
        <f>IF(D126="High Street",1,0)</f>
        <v>1</v>
      </c>
      <c r="T126">
        <f>IF(D126="Mall",1,0)</f>
        <v>0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 s="3">
        <v>44747</v>
      </c>
      <c r="F127">
        <v>11076</v>
      </c>
      <c r="G127" s="4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 s="3">
        <v>842439.67</v>
      </c>
      <c r="N127" s="3">
        <v>169983.63</v>
      </c>
      <c r="O127">
        <f>IF(C127="North",1,0)</f>
        <v>0</v>
      </c>
      <c r="P127">
        <f>IF(C127="South",1,0)</f>
        <v>1</v>
      </c>
      <c r="Q127">
        <f>IF(C127="West",1,0)</f>
        <v>0</v>
      </c>
      <c r="R127">
        <f>IF(D127="Airport",1,0)</f>
        <v>0</v>
      </c>
      <c r="S127">
        <f>IF(D127="High Street",1,0)</f>
        <v>1</v>
      </c>
      <c r="T127">
        <f>IF(D127="Mall",1,0)</f>
        <v>0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 s="3">
        <v>56517.9</v>
      </c>
      <c r="F128">
        <v>9574</v>
      </c>
      <c r="G128" s="4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 s="3">
        <v>842157.92</v>
      </c>
      <c r="N128" s="3">
        <v>107348.22</v>
      </c>
      <c r="O128">
        <f>IF(C128="North",1,0)</f>
        <v>0</v>
      </c>
      <c r="P128">
        <f>IF(C128="South",1,0)</f>
        <v>1</v>
      </c>
      <c r="Q128">
        <f>IF(C128="West",1,0)</f>
        <v>0</v>
      </c>
      <c r="R128">
        <f>IF(D128="Airport",1,0)</f>
        <v>0</v>
      </c>
      <c r="S128">
        <f>IF(D128="High Street",1,0)</f>
        <v>1</v>
      </c>
      <c r="T128">
        <f>IF(D128="Mall",1,0)</f>
        <v>0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 s="3">
        <v>37828.5</v>
      </c>
      <c r="F129">
        <v>8221</v>
      </c>
      <c r="G129" s="4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 s="3">
        <v>697155.3</v>
      </c>
      <c r="N129" s="3">
        <v>136408.54</v>
      </c>
      <c r="O129">
        <f>IF(C129="North",1,0)</f>
        <v>0</v>
      </c>
      <c r="P129">
        <f>IF(C129="South",1,0)</f>
        <v>1</v>
      </c>
      <c r="Q129">
        <f>IF(C129="West",1,0)</f>
        <v>0</v>
      </c>
      <c r="R129">
        <f>IF(D129="Airport",1,0)</f>
        <v>0</v>
      </c>
      <c r="S129">
        <f>IF(D129="High Street",1,0)</f>
        <v>1</v>
      </c>
      <c r="T129">
        <f>IF(D129="Mall",1,0)</f>
        <v>0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 s="3">
        <v>66250.53</v>
      </c>
      <c r="F130">
        <v>10618</v>
      </c>
      <c r="G130" s="4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 s="3">
        <v>849018.3</v>
      </c>
      <c r="N130" s="3">
        <v>149035.13</v>
      </c>
      <c r="O130">
        <f>IF(C130="North",1,0)</f>
        <v>0</v>
      </c>
      <c r="P130">
        <f>IF(C130="South",1,0)</f>
        <v>0</v>
      </c>
      <c r="Q130">
        <f>IF(C130="West",1,0)</f>
        <v>0</v>
      </c>
      <c r="R130">
        <f>IF(D130="Airport",1,0)</f>
        <v>0</v>
      </c>
      <c r="S130">
        <f>IF(D130="High Street",1,0)</f>
        <v>1</v>
      </c>
      <c r="T130">
        <f>IF(D130="Mall",1,0)</f>
        <v>0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 s="3">
        <v>68410.929999999993</v>
      </c>
      <c r="F131">
        <v>10596</v>
      </c>
      <c r="G131" s="4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 s="3">
        <v>801830.35</v>
      </c>
      <c r="N131" s="3">
        <v>114875.32</v>
      </c>
      <c r="O131">
        <f>IF(C131="North",1,0)</f>
        <v>0</v>
      </c>
      <c r="P131">
        <f>IF(C131="South",1,0)</f>
        <v>0</v>
      </c>
      <c r="Q131">
        <f>IF(C131="West",1,0)</f>
        <v>0</v>
      </c>
      <c r="R131">
        <f>IF(D131="Airport",1,0)</f>
        <v>0</v>
      </c>
      <c r="S131">
        <f>IF(D131="High Street",1,0)</f>
        <v>1</v>
      </c>
      <c r="T131">
        <f>IF(D131="Mall",1,0)</f>
        <v>0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 s="3">
        <v>50735.63</v>
      </c>
      <c r="F132">
        <v>9619</v>
      </c>
      <c r="G132" s="4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 s="3">
        <v>725235.28</v>
      </c>
      <c r="N132" s="3">
        <v>121632.24</v>
      </c>
      <c r="O132">
        <f>IF(C132="North",1,0)</f>
        <v>0</v>
      </c>
      <c r="P132">
        <f>IF(C132="South",1,0)</f>
        <v>0</v>
      </c>
      <c r="Q132">
        <f>IF(C132="West",1,0)</f>
        <v>0</v>
      </c>
      <c r="R132">
        <f>IF(D132="Airport",1,0)</f>
        <v>0</v>
      </c>
      <c r="S132">
        <f>IF(D132="High Street",1,0)</f>
        <v>1</v>
      </c>
      <c r="T132">
        <f>IF(D132="Mall",1,0)</f>
        <v>0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 s="3">
        <v>66455.8</v>
      </c>
      <c r="F133">
        <v>10836</v>
      </c>
      <c r="G133" s="4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 s="3">
        <v>811452.72</v>
      </c>
      <c r="N133" s="3">
        <v>131325.67000000001</v>
      </c>
      <c r="O133">
        <f>IF(C133="North",1,0)</f>
        <v>0</v>
      </c>
      <c r="P133">
        <f>IF(C133="South",1,0)</f>
        <v>0</v>
      </c>
      <c r="Q133">
        <f>IF(C133="West",1,0)</f>
        <v>0</v>
      </c>
      <c r="R133">
        <f>IF(D133="Airport",1,0)</f>
        <v>0</v>
      </c>
      <c r="S133">
        <f>IF(D133="High Street",1,0)</f>
        <v>1</v>
      </c>
      <c r="T133">
        <f>IF(D133="Mall",1,0)</f>
        <v>0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 s="3">
        <v>70276.28</v>
      </c>
      <c r="F134">
        <v>3043</v>
      </c>
      <c r="G134" s="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 s="3">
        <v>527300.13</v>
      </c>
      <c r="N134" s="3">
        <v>84197.87</v>
      </c>
      <c r="O134">
        <f>IF(C134="North",1,0)</f>
        <v>1</v>
      </c>
      <c r="P134">
        <f>IF(C134="South",1,0)</f>
        <v>0</v>
      </c>
      <c r="Q134">
        <f>IF(C134="West",1,0)</f>
        <v>0</v>
      </c>
      <c r="R134">
        <f>IF(D134="Airport",1,0)</f>
        <v>0</v>
      </c>
      <c r="S134">
        <f>IF(D134="High Street",1,0)</f>
        <v>1</v>
      </c>
      <c r="T134">
        <f>IF(D134="Mall",1,0)</f>
        <v>0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 s="3">
        <v>22071.64</v>
      </c>
      <c r="F135">
        <v>1814</v>
      </c>
      <c r="G135" s="4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 s="3">
        <v>400831.65</v>
      </c>
      <c r="N135" s="3">
        <v>70979.31</v>
      </c>
      <c r="O135">
        <f>IF(C135="North",1,0)</f>
        <v>1</v>
      </c>
      <c r="P135">
        <f>IF(C135="South",1,0)</f>
        <v>0</v>
      </c>
      <c r="Q135">
        <f>IF(C135="West",1,0)</f>
        <v>0</v>
      </c>
      <c r="R135">
        <f>IF(D135="Airport",1,0)</f>
        <v>0</v>
      </c>
      <c r="S135">
        <f>IF(D135="High Street",1,0)</f>
        <v>1</v>
      </c>
      <c r="T135">
        <f>IF(D135="Mall",1,0)</f>
        <v>0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 s="3">
        <v>52285.45</v>
      </c>
      <c r="F136">
        <v>3618</v>
      </c>
      <c r="G136" s="4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 s="3">
        <v>593247.25</v>
      </c>
      <c r="N136" s="3">
        <v>81240.289999999994</v>
      </c>
      <c r="O136">
        <f>IF(C136="North",1,0)</f>
        <v>1</v>
      </c>
      <c r="P136">
        <f>IF(C136="South",1,0)</f>
        <v>0</v>
      </c>
      <c r="Q136">
        <f>IF(C136="West",1,0)</f>
        <v>0</v>
      </c>
      <c r="R136">
        <f>IF(D136="Airport",1,0)</f>
        <v>0</v>
      </c>
      <c r="S136">
        <f>IF(D136="High Street",1,0)</f>
        <v>1</v>
      </c>
      <c r="T136">
        <f>IF(D136="Mall",1,0)</f>
        <v>0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 s="3">
        <v>70366.759999999995</v>
      </c>
      <c r="F137">
        <v>1963</v>
      </c>
      <c r="G137" s="4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 s="3">
        <v>529075.94999999995</v>
      </c>
      <c r="N137" s="3">
        <v>95978.83</v>
      </c>
      <c r="O137">
        <f>IF(C137="North",1,0)</f>
        <v>1</v>
      </c>
      <c r="P137">
        <f>IF(C137="South",1,0)</f>
        <v>0</v>
      </c>
      <c r="Q137">
        <f>IF(C137="West",1,0)</f>
        <v>0</v>
      </c>
      <c r="R137">
        <f>IF(D137="Airport",1,0)</f>
        <v>0</v>
      </c>
      <c r="S137">
        <f>IF(D137="High Street",1,0)</f>
        <v>1</v>
      </c>
      <c r="T137">
        <f>IF(D137="Mall",1,0)</f>
        <v>0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 s="3">
        <v>71320.66</v>
      </c>
      <c r="F138">
        <v>7888</v>
      </c>
      <c r="G138" s="4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 s="3">
        <v>633638.03</v>
      </c>
      <c r="N138" s="3">
        <v>99402.01</v>
      </c>
      <c r="O138">
        <f>IF(C138="North",1,0)</f>
        <v>0</v>
      </c>
      <c r="P138">
        <f>IF(C138="South",1,0)</f>
        <v>1</v>
      </c>
      <c r="Q138">
        <f>IF(C138="West",1,0)</f>
        <v>0</v>
      </c>
      <c r="R138">
        <f>IF(D138="Airport",1,0)</f>
        <v>0</v>
      </c>
      <c r="S138">
        <f>IF(D138="High Street",1,0)</f>
        <v>0</v>
      </c>
      <c r="T138">
        <f>IF(D138="Mall",1,0)</f>
        <v>0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 s="3">
        <v>75109.67</v>
      </c>
      <c r="F139">
        <v>6244</v>
      </c>
      <c r="G139" s="4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 s="3">
        <v>743348.84</v>
      </c>
      <c r="N139" s="3">
        <v>104186.09</v>
      </c>
      <c r="O139">
        <f>IF(C139="North",1,0)</f>
        <v>0</v>
      </c>
      <c r="P139">
        <f>IF(C139="South",1,0)</f>
        <v>1</v>
      </c>
      <c r="Q139">
        <f>IF(C139="West",1,0)</f>
        <v>0</v>
      </c>
      <c r="R139">
        <f>IF(D139="Airport",1,0)</f>
        <v>0</v>
      </c>
      <c r="S139">
        <f>IF(D139="High Street",1,0)</f>
        <v>0</v>
      </c>
      <c r="T139">
        <f>IF(D139="Mall",1,0)</f>
        <v>0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 s="3">
        <v>69779</v>
      </c>
      <c r="F140">
        <v>6544</v>
      </c>
      <c r="G140" s="4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 s="3">
        <v>758827.64</v>
      </c>
      <c r="N140" s="3">
        <v>161439.48000000001</v>
      </c>
      <c r="O140">
        <f>IF(C140="North",1,0)</f>
        <v>0</v>
      </c>
      <c r="P140">
        <f>IF(C140="South",1,0)</f>
        <v>1</v>
      </c>
      <c r="Q140">
        <f>IF(C140="West",1,0)</f>
        <v>0</v>
      </c>
      <c r="R140">
        <f>IF(D140="Airport",1,0)</f>
        <v>0</v>
      </c>
      <c r="S140">
        <f>IF(D140="High Street",1,0)</f>
        <v>0</v>
      </c>
      <c r="T140">
        <f>IF(D140="Mall",1,0)</f>
        <v>0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 s="3">
        <v>44211.95</v>
      </c>
      <c r="F141">
        <v>5465</v>
      </c>
      <c r="G141" s="4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 s="3">
        <v>646559.71</v>
      </c>
      <c r="N141" s="3">
        <v>97981.75</v>
      </c>
      <c r="O141">
        <f>IF(C141="North",1,0)</f>
        <v>0</v>
      </c>
      <c r="P141">
        <f>IF(C141="South",1,0)</f>
        <v>1</v>
      </c>
      <c r="Q141">
        <f>IF(C141="West",1,0)</f>
        <v>0</v>
      </c>
      <c r="R141">
        <f>IF(D141="Airport",1,0)</f>
        <v>0</v>
      </c>
      <c r="S141">
        <f>IF(D141="High Street",1,0)</f>
        <v>0</v>
      </c>
      <c r="T141">
        <f>IF(D141="Mall",1,0)</f>
        <v>0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 s="3">
        <v>51430.31</v>
      </c>
      <c r="F142">
        <v>6427</v>
      </c>
      <c r="G142" s="4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 s="3">
        <v>715890.53</v>
      </c>
      <c r="N142" s="3">
        <v>109032.15</v>
      </c>
      <c r="O142">
        <f>IF(C142="North",1,0)</f>
        <v>0</v>
      </c>
      <c r="P142">
        <f>IF(C142="South",1,0)</f>
        <v>0</v>
      </c>
      <c r="Q142">
        <f>IF(C142="West",1,0)</f>
        <v>1</v>
      </c>
      <c r="R142">
        <f>IF(D142="Airport",1,0)</f>
        <v>0</v>
      </c>
      <c r="S142">
        <f>IF(D142="High Street",1,0)</f>
        <v>1</v>
      </c>
      <c r="T142">
        <f>IF(D142="Mall",1,0)</f>
        <v>0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 s="3">
        <v>45706.49</v>
      </c>
      <c r="F143">
        <v>6704</v>
      </c>
      <c r="G143" s="4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 s="3">
        <v>715097.57</v>
      </c>
      <c r="N143" s="3">
        <v>151875.85999999999</v>
      </c>
      <c r="O143">
        <f>IF(C143="North",1,0)</f>
        <v>0</v>
      </c>
      <c r="P143">
        <f>IF(C143="South",1,0)</f>
        <v>0</v>
      </c>
      <c r="Q143">
        <f>IF(C143="West",1,0)</f>
        <v>1</v>
      </c>
      <c r="R143">
        <f>IF(D143="Airport",1,0)</f>
        <v>0</v>
      </c>
      <c r="S143">
        <f>IF(D143="High Street",1,0)</f>
        <v>1</v>
      </c>
      <c r="T143">
        <f>IF(D143="Mall",1,0)</f>
        <v>0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 s="3">
        <v>44034.6</v>
      </c>
      <c r="F144">
        <v>5645</v>
      </c>
      <c r="G144" s="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 s="3">
        <v>682639.28</v>
      </c>
      <c r="N144" s="3">
        <v>77557.53</v>
      </c>
      <c r="O144">
        <f>IF(C144="North",1,0)</f>
        <v>0</v>
      </c>
      <c r="P144">
        <f>IF(C144="South",1,0)</f>
        <v>0</v>
      </c>
      <c r="Q144">
        <f>IF(C144="West",1,0)</f>
        <v>1</v>
      </c>
      <c r="R144">
        <f>IF(D144="Airport",1,0)</f>
        <v>0</v>
      </c>
      <c r="S144">
        <f>IF(D144="High Street",1,0)</f>
        <v>1</v>
      </c>
      <c r="T144">
        <f>IF(D144="Mall",1,0)</f>
        <v>0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 s="3">
        <v>50198.12</v>
      </c>
      <c r="F145">
        <v>6089</v>
      </c>
      <c r="G145" s="4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 s="3">
        <v>695098.51</v>
      </c>
      <c r="N145" s="3">
        <v>108192.75</v>
      </c>
      <c r="O145">
        <f>IF(C145="North",1,0)</f>
        <v>0</v>
      </c>
      <c r="P145">
        <f>IF(C145="South",1,0)</f>
        <v>0</v>
      </c>
      <c r="Q145">
        <f>IF(C145="West",1,0)</f>
        <v>1</v>
      </c>
      <c r="R145">
        <f>IF(D145="Airport",1,0)</f>
        <v>0</v>
      </c>
      <c r="S145">
        <f>IF(D145="High Street",1,0)</f>
        <v>1</v>
      </c>
      <c r="T145">
        <f>IF(D145="Mall",1,0)</f>
        <v>0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 s="3">
        <v>70488.2</v>
      </c>
      <c r="F146">
        <v>4312</v>
      </c>
      <c r="G146" s="4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 s="3">
        <v>577732.56999999995</v>
      </c>
      <c r="N146" s="3">
        <v>93804.27</v>
      </c>
      <c r="O146">
        <f>IF(C146="North",1,0)</f>
        <v>1</v>
      </c>
      <c r="P146">
        <f>IF(C146="South",1,0)</f>
        <v>0</v>
      </c>
      <c r="Q146">
        <f>IF(C146="West",1,0)</f>
        <v>0</v>
      </c>
      <c r="R146">
        <f>IF(D146="Airport",1,0)</f>
        <v>0</v>
      </c>
      <c r="S146">
        <f>IF(D146="High Street",1,0)</f>
        <v>0</v>
      </c>
      <c r="T146">
        <f>IF(D146="Mall",1,0)</f>
        <v>0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 s="3">
        <v>50909.27</v>
      </c>
      <c r="F147">
        <v>3152</v>
      </c>
      <c r="G147" s="4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 s="3">
        <v>537058.32999999996</v>
      </c>
      <c r="N147" s="3">
        <v>93555.71</v>
      </c>
      <c r="O147">
        <f>IF(C147="North",1,0)</f>
        <v>1</v>
      </c>
      <c r="P147">
        <f>IF(C147="South",1,0)</f>
        <v>0</v>
      </c>
      <c r="Q147">
        <f>IF(C147="West",1,0)</f>
        <v>0</v>
      </c>
      <c r="R147">
        <f>IF(D147="Airport",1,0)</f>
        <v>0</v>
      </c>
      <c r="S147">
        <f>IF(D147="High Street",1,0)</f>
        <v>0</v>
      </c>
      <c r="T147">
        <f>IF(D147="Mall",1,0)</f>
        <v>0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 s="3">
        <v>53351.7</v>
      </c>
      <c r="F148">
        <v>4259</v>
      </c>
      <c r="G148" s="4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 s="3">
        <v>601568.87</v>
      </c>
      <c r="N148" s="3">
        <v>91634.82</v>
      </c>
      <c r="O148">
        <f>IF(C148="North",1,0)</f>
        <v>1</v>
      </c>
      <c r="P148">
        <f>IF(C148="South",1,0)</f>
        <v>0</v>
      </c>
      <c r="Q148">
        <f>IF(C148="West",1,0)</f>
        <v>0</v>
      </c>
      <c r="R148">
        <f>IF(D148="Airport",1,0)</f>
        <v>0</v>
      </c>
      <c r="S148">
        <f>IF(D148="High Street",1,0)</f>
        <v>0</v>
      </c>
      <c r="T148">
        <f>IF(D148="Mall",1,0)</f>
        <v>0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 s="3">
        <v>60322.400000000001</v>
      </c>
      <c r="F149">
        <v>3350</v>
      </c>
      <c r="G149" s="4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 s="3">
        <v>570964.84</v>
      </c>
      <c r="N149" s="3">
        <v>81331.070000000007</v>
      </c>
      <c r="O149">
        <f>IF(C149="North",1,0)</f>
        <v>1</v>
      </c>
      <c r="P149">
        <f>IF(C149="South",1,0)</f>
        <v>0</v>
      </c>
      <c r="Q149">
        <f>IF(C149="West",1,0)</f>
        <v>0</v>
      </c>
      <c r="R149">
        <f>IF(D149="Airport",1,0)</f>
        <v>0</v>
      </c>
      <c r="S149">
        <f>IF(D149="High Street",1,0)</f>
        <v>0</v>
      </c>
      <c r="T149">
        <f>IF(D149="Mall",1,0)</f>
        <v>0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 s="3">
        <v>51575.68</v>
      </c>
      <c r="F150">
        <v>5329</v>
      </c>
      <c r="G150" s="4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 s="3">
        <v>614024.91</v>
      </c>
      <c r="N150" s="3">
        <v>84828.93</v>
      </c>
      <c r="O150">
        <f>IF(C150="North",1,0)</f>
        <v>0</v>
      </c>
      <c r="P150">
        <f>IF(C150="South",1,0)</f>
        <v>1</v>
      </c>
      <c r="Q150">
        <f>IF(C150="West",1,0)</f>
        <v>0</v>
      </c>
      <c r="R150">
        <f>IF(D150="Airport",1,0)</f>
        <v>0</v>
      </c>
      <c r="S150">
        <f>IF(D150="High Street",1,0)</f>
        <v>0</v>
      </c>
      <c r="T150">
        <f>IF(D150="Mall",1,0)</f>
        <v>1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 s="3">
        <v>43319.94</v>
      </c>
      <c r="F151">
        <v>6551</v>
      </c>
      <c r="G151" s="4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 s="3">
        <v>712868.35</v>
      </c>
      <c r="N151" s="3">
        <v>133650.51</v>
      </c>
      <c r="O151">
        <f>IF(C151="North",1,0)</f>
        <v>0</v>
      </c>
      <c r="P151">
        <f>IF(C151="South",1,0)</f>
        <v>1</v>
      </c>
      <c r="Q151">
        <f>IF(C151="West",1,0)</f>
        <v>0</v>
      </c>
      <c r="R151">
        <f>IF(D151="Airport",1,0)</f>
        <v>0</v>
      </c>
      <c r="S151">
        <f>IF(D151="High Street",1,0)</f>
        <v>0</v>
      </c>
      <c r="T151">
        <f>IF(D151="Mall",1,0)</f>
        <v>1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 s="3">
        <v>47093.55</v>
      </c>
      <c r="F152">
        <v>5550</v>
      </c>
      <c r="G152" s="4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 s="3">
        <v>696744.15</v>
      </c>
      <c r="N152" s="3">
        <v>152230.09</v>
      </c>
      <c r="O152">
        <f>IF(C152="North",1,0)</f>
        <v>0</v>
      </c>
      <c r="P152">
        <f>IF(C152="South",1,0)</f>
        <v>1</v>
      </c>
      <c r="Q152">
        <f>IF(C152="West",1,0)</f>
        <v>0</v>
      </c>
      <c r="R152">
        <f>IF(D152="Airport",1,0)</f>
        <v>0</v>
      </c>
      <c r="S152">
        <f>IF(D152="High Street",1,0)</f>
        <v>0</v>
      </c>
      <c r="T152">
        <f>IF(D152="Mall",1,0)</f>
        <v>1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 s="3">
        <v>71855.09</v>
      </c>
      <c r="F153">
        <v>5911</v>
      </c>
      <c r="G153" s="4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 s="3">
        <v>725847.99</v>
      </c>
      <c r="N153" s="3">
        <v>122698.73</v>
      </c>
      <c r="O153">
        <f>IF(C153="North",1,0)</f>
        <v>0</v>
      </c>
      <c r="P153">
        <f>IF(C153="South",1,0)</f>
        <v>1</v>
      </c>
      <c r="Q153">
        <f>IF(C153="West",1,0)</f>
        <v>0</v>
      </c>
      <c r="R153">
        <f>IF(D153="Airport",1,0)</f>
        <v>0</v>
      </c>
      <c r="S153">
        <f>IF(D153="High Street",1,0)</f>
        <v>0</v>
      </c>
      <c r="T153">
        <f>IF(D153="Mall",1,0)</f>
        <v>1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 s="3">
        <v>75645.23</v>
      </c>
      <c r="F154">
        <v>9674</v>
      </c>
      <c r="G154" s="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 s="3">
        <v>785028.25</v>
      </c>
      <c r="N154" s="3">
        <v>110726.44</v>
      </c>
      <c r="O154">
        <f>IF(C154="North",1,0)</f>
        <v>0</v>
      </c>
      <c r="P154">
        <f>IF(C154="South",1,0)</f>
        <v>0</v>
      </c>
      <c r="Q154">
        <f>IF(C154="West",1,0)</f>
        <v>0</v>
      </c>
      <c r="R154">
        <f>IF(D154="Airport",1,0)</f>
        <v>0</v>
      </c>
      <c r="S154">
        <f>IF(D154="High Street",1,0)</f>
        <v>1</v>
      </c>
      <c r="T154">
        <f>IF(D154="Mall",1,0)</f>
        <v>0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 s="3">
        <v>64374.75</v>
      </c>
      <c r="F155">
        <v>6740</v>
      </c>
      <c r="G155" s="4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 s="3">
        <v>698492.67</v>
      </c>
      <c r="N155" s="3">
        <v>117319.32</v>
      </c>
      <c r="O155">
        <f>IF(C155="North",1,0)</f>
        <v>0</v>
      </c>
      <c r="P155">
        <f>IF(C155="South",1,0)</f>
        <v>0</v>
      </c>
      <c r="Q155">
        <f>IF(C155="West",1,0)</f>
        <v>0</v>
      </c>
      <c r="R155">
        <f>IF(D155="Airport",1,0)</f>
        <v>0</v>
      </c>
      <c r="S155">
        <f>IF(D155="High Street",1,0)</f>
        <v>1</v>
      </c>
      <c r="T155">
        <f>IF(D155="Mall",1,0)</f>
        <v>0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 s="3">
        <v>61433.84</v>
      </c>
      <c r="F156">
        <v>7745</v>
      </c>
      <c r="G156" s="4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 s="3">
        <v>685830.24</v>
      </c>
      <c r="N156" s="3">
        <v>128736.18</v>
      </c>
      <c r="O156">
        <f>IF(C156="North",1,0)</f>
        <v>0</v>
      </c>
      <c r="P156">
        <f>IF(C156="South",1,0)</f>
        <v>0</v>
      </c>
      <c r="Q156">
        <f>IF(C156="West",1,0)</f>
        <v>0</v>
      </c>
      <c r="R156">
        <f>IF(D156="Airport",1,0)</f>
        <v>0</v>
      </c>
      <c r="S156">
        <f>IF(D156="High Street",1,0)</f>
        <v>1</v>
      </c>
      <c r="T156">
        <f>IF(D156="Mall",1,0)</f>
        <v>0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 s="3">
        <v>42698.14</v>
      </c>
      <c r="F157">
        <v>7693</v>
      </c>
      <c r="G157" s="4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 s="3">
        <v>702318.94</v>
      </c>
      <c r="N157" s="3">
        <v>112829.29</v>
      </c>
      <c r="O157">
        <f>IF(C157="North",1,0)</f>
        <v>0</v>
      </c>
      <c r="P157">
        <f>IF(C157="South",1,0)</f>
        <v>0</v>
      </c>
      <c r="Q157">
        <f>IF(C157="West",1,0)</f>
        <v>0</v>
      </c>
      <c r="R157">
        <f>IF(D157="Airport",1,0)</f>
        <v>0</v>
      </c>
      <c r="S157">
        <f>IF(D157="High Street",1,0)</f>
        <v>1</v>
      </c>
      <c r="T157">
        <f>IF(D157="Mall",1,0)</f>
        <v>0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 s="3">
        <v>86883.31</v>
      </c>
      <c r="F158">
        <v>6424</v>
      </c>
      <c r="G158" s="4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 s="3">
        <v>700078.32</v>
      </c>
      <c r="N158" s="3">
        <v>123707.58</v>
      </c>
      <c r="O158">
        <f>IF(C158="North",1,0)</f>
        <v>1</v>
      </c>
      <c r="P158">
        <f>IF(C158="South",1,0)</f>
        <v>0</v>
      </c>
      <c r="Q158">
        <f>IF(C158="West",1,0)</f>
        <v>0</v>
      </c>
      <c r="R158">
        <f>IF(D158="Airport",1,0)</f>
        <v>0</v>
      </c>
      <c r="S158">
        <f>IF(D158="High Street",1,0)</f>
        <v>0</v>
      </c>
      <c r="T158">
        <f>IF(D158="Mall",1,0)</f>
        <v>1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 s="3">
        <v>41863.08</v>
      </c>
      <c r="F159">
        <v>5400</v>
      </c>
      <c r="G159" s="4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 s="3">
        <v>602002.31999999995</v>
      </c>
      <c r="N159" s="3">
        <v>110453.28</v>
      </c>
      <c r="O159">
        <f>IF(C159="North",1,0)</f>
        <v>1</v>
      </c>
      <c r="P159">
        <f>IF(C159="South",1,0)</f>
        <v>0</v>
      </c>
      <c r="Q159">
        <f>IF(C159="West",1,0)</f>
        <v>0</v>
      </c>
      <c r="R159">
        <f>IF(D159="Airport",1,0)</f>
        <v>0</v>
      </c>
      <c r="S159">
        <f>IF(D159="High Street",1,0)</f>
        <v>0</v>
      </c>
      <c r="T159">
        <f>IF(D159="Mall",1,0)</f>
        <v>1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 s="3">
        <v>56918.16</v>
      </c>
      <c r="F160">
        <v>7015</v>
      </c>
      <c r="G160" s="4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 s="3">
        <v>724216.07</v>
      </c>
      <c r="N160" s="3">
        <v>100627.56</v>
      </c>
      <c r="O160">
        <f>IF(C160="North",1,0)</f>
        <v>1</v>
      </c>
      <c r="P160">
        <f>IF(C160="South",1,0)</f>
        <v>0</v>
      </c>
      <c r="Q160">
        <f>IF(C160="West",1,0)</f>
        <v>0</v>
      </c>
      <c r="R160">
        <f>IF(D160="Airport",1,0)</f>
        <v>0</v>
      </c>
      <c r="S160">
        <f>IF(D160="High Street",1,0)</f>
        <v>0</v>
      </c>
      <c r="T160">
        <f>IF(D160="Mall",1,0)</f>
        <v>1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 s="3">
        <v>23254.57</v>
      </c>
      <c r="F161">
        <v>3847</v>
      </c>
      <c r="G161" s="4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 s="3">
        <v>620973.03</v>
      </c>
      <c r="N161" s="3">
        <v>72303.850000000006</v>
      </c>
      <c r="O161">
        <f>IF(C161="North",1,0)</f>
        <v>1</v>
      </c>
      <c r="P161">
        <f>IF(C161="South",1,0)</f>
        <v>0</v>
      </c>
      <c r="Q161">
        <f>IF(C161="West",1,0)</f>
        <v>0</v>
      </c>
      <c r="R161">
        <f>IF(D161="Airport",1,0)</f>
        <v>0</v>
      </c>
      <c r="S161">
        <f>IF(D161="High Street",1,0)</f>
        <v>0</v>
      </c>
      <c r="T161">
        <f>IF(D161="Mall",1,0)</f>
        <v>1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 s="3">
        <v>41443.410000000003</v>
      </c>
      <c r="F162">
        <v>7455</v>
      </c>
      <c r="G162" s="4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 s="3">
        <v>650480.06000000006</v>
      </c>
      <c r="N162" s="3">
        <v>109012.07</v>
      </c>
      <c r="O162">
        <f>IF(C162="North",1,0)</f>
        <v>0</v>
      </c>
      <c r="P162">
        <f>IF(C162="South",1,0)</f>
        <v>1</v>
      </c>
      <c r="Q162">
        <f>IF(C162="West",1,0)</f>
        <v>0</v>
      </c>
      <c r="R162">
        <f>IF(D162="Airport",1,0)</f>
        <v>0</v>
      </c>
      <c r="S162">
        <f>IF(D162="High Street",1,0)</f>
        <v>1</v>
      </c>
      <c r="T162">
        <f>IF(D162="Mall",1,0)</f>
        <v>0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 s="3">
        <v>48438.85</v>
      </c>
      <c r="F163">
        <v>6992</v>
      </c>
      <c r="G163" s="4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 s="3">
        <v>778298.88</v>
      </c>
      <c r="N163" s="3">
        <v>130076.72</v>
      </c>
      <c r="O163">
        <f>IF(C163="North",1,0)</f>
        <v>0</v>
      </c>
      <c r="P163">
        <f>IF(C163="South",1,0)</f>
        <v>1</v>
      </c>
      <c r="Q163">
        <f>IF(C163="West",1,0)</f>
        <v>0</v>
      </c>
      <c r="R163">
        <f>IF(D163="Airport",1,0)</f>
        <v>0</v>
      </c>
      <c r="S163">
        <f>IF(D163="High Street",1,0)</f>
        <v>1</v>
      </c>
      <c r="T163">
        <f>IF(D163="Mall",1,0)</f>
        <v>0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 s="3">
        <v>57143.3</v>
      </c>
      <c r="F164">
        <v>8038</v>
      </c>
      <c r="G164" s="4">
        <v>0.193</v>
      </c>
      <c r="H164">
        <v>17</v>
      </c>
      <c r="I164">
        <v>72.599999999999994</v>
      </c>
      <c r="J164">
        <v>3.3650000000000002</v>
      </c>
      <c r="K164">
        <v>0</v>
      </c>
      <c r="L164">
        <v>4.2</v>
      </c>
      <c r="M164" s="3">
        <v>677096.71</v>
      </c>
      <c r="N164" s="3">
        <v>97174.11</v>
      </c>
      <c r="O164">
        <f>IF(C164="North",1,0)</f>
        <v>0</v>
      </c>
      <c r="P164">
        <f>IF(C164="South",1,0)</f>
        <v>1</v>
      </c>
      <c r="Q164">
        <f>IF(C164="West",1,0)</f>
        <v>0</v>
      </c>
      <c r="R164">
        <f>IF(D164="Airport",1,0)</f>
        <v>0</v>
      </c>
      <c r="S164">
        <f>IF(D164="High Street",1,0)</f>
        <v>1</v>
      </c>
      <c r="T164">
        <f>IF(D164="Mall",1,0)</f>
        <v>0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 s="3">
        <v>66870.62</v>
      </c>
      <c r="F165">
        <v>6055</v>
      </c>
      <c r="G165" s="4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 s="3">
        <v>692008.64</v>
      </c>
      <c r="N165" s="3">
        <v>116337.87</v>
      </c>
      <c r="O165">
        <f>IF(C165="North",1,0)</f>
        <v>0</v>
      </c>
      <c r="P165">
        <f>IF(C165="South",1,0)</f>
        <v>1</v>
      </c>
      <c r="Q165">
        <f>IF(C165="West",1,0)</f>
        <v>0</v>
      </c>
      <c r="R165">
        <f>IF(D165="Airport",1,0)</f>
        <v>0</v>
      </c>
      <c r="S165">
        <f>IF(D165="High Street",1,0)</f>
        <v>1</v>
      </c>
      <c r="T165">
        <f>IF(D165="Mall",1,0)</f>
        <v>0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 s="3">
        <v>72150.53</v>
      </c>
      <c r="F166">
        <v>9323</v>
      </c>
      <c r="G166" s="4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 s="3">
        <v>825797.91</v>
      </c>
      <c r="N166" s="3">
        <v>130945.24</v>
      </c>
      <c r="O166">
        <f>IF(C166="North",1,0)</f>
        <v>1</v>
      </c>
      <c r="P166">
        <f>IF(C166="South",1,0)</f>
        <v>0</v>
      </c>
      <c r="Q166">
        <f>IF(C166="West",1,0)</f>
        <v>0</v>
      </c>
      <c r="R166">
        <f>IF(D166="Airport",1,0)</f>
        <v>0</v>
      </c>
      <c r="S166">
        <f>IF(D166="High Street",1,0)</f>
        <v>0</v>
      </c>
      <c r="T166">
        <f>IF(D166="Mall",1,0)</f>
        <v>1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 s="3">
        <v>35303.300000000003</v>
      </c>
      <c r="F167">
        <v>8789</v>
      </c>
      <c r="G167" s="4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 s="3">
        <v>706285.52</v>
      </c>
      <c r="N167" s="3">
        <v>138014.72</v>
      </c>
      <c r="O167">
        <f>IF(C167="North",1,0)</f>
        <v>1</v>
      </c>
      <c r="P167">
        <f>IF(C167="South",1,0)</f>
        <v>0</v>
      </c>
      <c r="Q167">
        <f>IF(C167="West",1,0)</f>
        <v>0</v>
      </c>
      <c r="R167">
        <f>IF(D167="Airport",1,0)</f>
        <v>0</v>
      </c>
      <c r="S167">
        <f>IF(D167="High Street",1,0)</f>
        <v>0</v>
      </c>
      <c r="T167">
        <f>IF(D167="Mall",1,0)</f>
        <v>1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 s="3">
        <v>30301.86</v>
      </c>
      <c r="F168">
        <v>6939</v>
      </c>
      <c r="G168" s="4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 s="3">
        <v>665534.69999999995</v>
      </c>
      <c r="N168" s="3">
        <v>113167.73</v>
      </c>
      <c r="O168">
        <f>IF(C168="North",1,0)</f>
        <v>1</v>
      </c>
      <c r="P168">
        <f>IF(C168="South",1,0)</f>
        <v>0</v>
      </c>
      <c r="Q168">
        <f>IF(C168="West",1,0)</f>
        <v>0</v>
      </c>
      <c r="R168">
        <f>IF(D168="Airport",1,0)</f>
        <v>0</v>
      </c>
      <c r="S168">
        <f>IF(D168="High Street",1,0)</f>
        <v>0</v>
      </c>
      <c r="T168">
        <f>IF(D168="Mall",1,0)</f>
        <v>1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 s="3">
        <v>78432.14</v>
      </c>
      <c r="F169">
        <v>9440</v>
      </c>
      <c r="G169" s="4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 s="3">
        <v>820729.29</v>
      </c>
      <c r="N169" s="3">
        <v>159325.47</v>
      </c>
      <c r="O169">
        <f>IF(C169="North",1,0)</f>
        <v>1</v>
      </c>
      <c r="P169">
        <f>IF(C169="South",1,0)</f>
        <v>0</v>
      </c>
      <c r="Q169">
        <f>IF(C169="West",1,0)</f>
        <v>0</v>
      </c>
      <c r="R169">
        <f>IF(D169="Airport",1,0)</f>
        <v>0</v>
      </c>
      <c r="S169">
        <f>IF(D169="High Street",1,0)</f>
        <v>0</v>
      </c>
      <c r="T169">
        <f>IF(D169="Mall",1,0)</f>
        <v>1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 s="3">
        <v>62059.18</v>
      </c>
      <c r="F170">
        <v>9374</v>
      </c>
      <c r="G170" s="4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 s="3">
        <v>739831.73</v>
      </c>
      <c r="N170" s="3">
        <v>119490.21</v>
      </c>
      <c r="O170">
        <f>IF(C170="North",1,0)</f>
        <v>0</v>
      </c>
      <c r="P170">
        <f>IF(C170="South",1,0)</f>
        <v>0</v>
      </c>
      <c r="Q170">
        <f>IF(C170="West",1,0)</f>
        <v>0</v>
      </c>
      <c r="R170">
        <f>IF(D170="Airport",1,0)</f>
        <v>0</v>
      </c>
      <c r="S170">
        <f>IF(D170="High Street",1,0)</f>
        <v>0</v>
      </c>
      <c r="T170">
        <f>IF(D170="Mall",1,0)</f>
        <v>0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 s="3">
        <v>32834.480000000003</v>
      </c>
      <c r="F171">
        <v>7576</v>
      </c>
      <c r="G171" s="4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 s="3">
        <v>593637.14</v>
      </c>
      <c r="N171" s="3">
        <v>106648.14</v>
      </c>
      <c r="O171">
        <f>IF(C171="North",1,0)</f>
        <v>0</v>
      </c>
      <c r="P171">
        <f>IF(C171="South",1,0)</f>
        <v>0</v>
      </c>
      <c r="Q171">
        <f>IF(C171="West",1,0)</f>
        <v>0</v>
      </c>
      <c r="R171">
        <f>IF(D171="Airport",1,0)</f>
        <v>0</v>
      </c>
      <c r="S171">
        <f>IF(D171="High Street",1,0)</f>
        <v>0</v>
      </c>
      <c r="T171">
        <f>IF(D171="Mall",1,0)</f>
        <v>0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 s="3">
        <v>50825.08</v>
      </c>
      <c r="F172">
        <v>8949</v>
      </c>
      <c r="G172" s="4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 s="3">
        <v>769702.76</v>
      </c>
      <c r="N172" s="3">
        <v>158697</v>
      </c>
      <c r="O172">
        <f>IF(C172="North",1,0)</f>
        <v>0</v>
      </c>
      <c r="P172">
        <f>IF(C172="South",1,0)</f>
        <v>0</v>
      </c>
      <c r="Q172">
        <f>IF(C172="West",1,0)</f>
        <v>0</v>
      </c>
      <c r="R172">
        <f>IF(D172="Airport",1,0)</f>
        <v>0</v>
      </c>
      <c r="S172">
        <f>IF(D172="High Street",1,0)</f>
        <v>0</v>
      </c>
      <c r="T172">
        <f>IF(D172="Mall",1,0)</f>
        <v>0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 s="3">
        <v>36606.51</v>
      </c>
      <c r="F173">
        <v>7671</v>
      </c>
      <c r="G173" s="4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 s="3">
        <v>679731.57</v>
      </c>
      <c r="N173" s="3">
        <v>121546.42</v>
      </c>
      <c r="O173">
        <f>IF(C173="North",1,0)</f>
        <v>0</v>
      </c>
      <c r="P173">
        <f>IF(C173="South",1,0)</f>
        <v>0</v>
      </c>
      <c r="Q173">
        <f>IF(C173="West",1,0)</f>
        <v>0</v>
      </c>
      <c r="R173">
        <f>IF(D173="Airport",1,0)</f>
        <v>0</v>
      </c>
      <c r="S173">
        <f>IF(D173="High Street",1,0)</f>
        <v>0</v>
      </c>
      <c r="T173">
        <f>IF(D173="Mall",1,0)</f>
        <v>0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 s="3">
        <v>65237.79</v>
      </c>
      <c r="F174">
        <v>8741</v>
      </c>
      <c r="G174" s="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 s="3">
        <v>780344.18</v>
      </c>
      <c r="N174" s="3">
        <v>118239.09</v>
      </c>
      <c r="O174">
        <f>IF(C174="North",1,0)</f>
        <v>0</v>
      </c>
      <c r="P174">
        <f>IF(C174="South",1,0)</f>
        <v>0</v>
      </c>
      <c r="Q174">
        <f>IF(C174="West",1,0)</f>
        <v>0</v>
      </c>
      <c r="R174">
        <f>IF(D174="Airport",1,0)</f>
        <v>0</v>
      </c>
      <c r="S174">
        <f>IF(D174="High Street",1,0)</f>
        <v>0</v>
      </c>
      <c r="T174">
        <f>IF(D174="Mall",1,0)</f>
        <v>0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 s="3">
        <v>43645.98</v>
      </c>
      <c r="F175">
        <v>9480</v>
      </c>
      <c r="G175" s="4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 s="3">
        <v>721364.11</v>
      </c>
      <c r="N175" s="3">
        <v>147272.81</v>
      </c>
      <c r="O175">
        <f>IF(C175="North",1,0)</f>
        <v>0</v>
      </c>
      <c r="P175">
        <f>IF(C175="South",1,0)</f>
        <v>0</v>
      </c>
      <c r="Q175">
        <f>IF(C175="West",1,0)</f>
        <v>0</v>
      </c>
      <c r="R175">
        <f>IF(D175="Airport",1,0)</f>
        <v>0</v>
      </c>
      <c r="S175">
        <f>IF(D175="High Street",1,0)</f>
        <v>0</v>
      </c>
      <c r="T175">
        <f>IF(D175="Mall",1,0)</f>
        <v>0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 s="3">
        <v>68040.149999999994</v>
      </c>
      <c r="F176">
        <v>9826</v>
      </c>
      <c r="G176" s="4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 s="3">
        <v>758138.29</v>
      </c>
      <c r="N176" s="3">
        <v>132975.26</v>
      </c>
      <c r="O176">
        <f>IF(C176="North",1,0)</f>
        <v>0</v>
      </c>
      <c r="P176">
        <f>IF(C176="South",1,0)</f>
        <v>0</v>
      </c>
      <c r="Q176">
        <f>IF(C176="West",1,0)</f>
        <v>0</v>
      </c>
      <c r="R176">
        <f>IF(D176="Airport",1,0)</f>
        <v>0</v>
      </c>
      <c r="S176">
        <f>IF(D176="High Street",1,0)</f>
        <v>0</v>
      </c>
      <c r="T176">
        <f>IF(D176="Mall",1,0)</f>
        <v>0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 s="3">
        <v>63043.94</v>
      </c>
      <c r="F177">
        <v>10402</v>
      </c>
      <c r="G177" s="4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 s="3">
        <v>804264</v>
      </c>
      <c r="N177" s="3">
        <v>167117.91</v>
      </c>
      <c r="O177">
        <f>IF(C177="North",1,0)</f>
        <v>0</v>
      </c>
      <c r="P177">
        <f>IF(C177="South",1,0)</f>
        <v>0</v>
      </c>
      <c r="Q177">
        <f>IF(C177="West",1,0)</f>
        <v>0</v>
      </c>
      <c r="R177">
        <f>IF(D177="Airport",1,0)</f>
        <v>0</v>
      </c>
      <c r="S177">
        <f>IF(D177="High Street",1,0)</f>
        <v>0</v>
      </c>
      <c r="T177">
        <f>IF(D177="Mall",1,0)</f>
        <v>0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 s="3">
        <v>67494.09</v>
      </c>
      <c r="F178">
        <v>12361</v>
      </c>
      <c r="G178" s="4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 s="3">
        <v>887537.75</v>
      </c>
      <c r="N178" s="3">
        <v>160362.92000000001</v>
      </c>
      <c r="O178">
        <f>IF(C178="North",1,0)</f>
        <v>0</v>
      </c>
      <c r="P178">
        <f>IF(C178="South",1,0)</f>
        <v>0</v>
      </c>
      <c r="Q178">
        <f>IF(C178="West",1,0)</f>
        <v>1</v>
      </c>
      <c r="R178">
        <f>IF(D178="Airport",1,0)</f>
        <v>1</v>
      </c>
      <c r="S178">
        <f>IF(D178="High Street",1,0)</f>
        <v>0</v>
      </c>
      <c r="T178">
        <f>IF(D178="Mall",1,0)</f>
        <v>0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 s="3">
        <v>29389.32</v>
      </c>
      <c r="F179">
        <v>7925</v>
      </c>
      <c r="G179" s="4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 s="3">
        <v>783582</v>
      </c>
      <c r="N179" s="3">
        <v>130670.93</v>
      </c>
      <c r="O179">
        <f>IF(C179="North",1,0)</f>
        <v>0</v>
      </c>
      <c r="P179">
        <f>IF(C179="South",1,0)</f>
        <v>0</v>
      </c>
      <c r="Q179">
        <f>IF(C179="West",1,0)</f>
        <v>1</v>
      </c>
      <c r="R179">
        <f>IF(D179="Airport",1,0)</f>
        <v>1</v>
      </c>
      <c r="S179">
        <f>IF(D179="High Street",1,0)</f>
        <v>0</v>
      </c>
      <c r="T179">
        <f>IF(D179="Mall",1,0)</f>
        <v>0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 s="3">
        <v>40535.089999999997</v>
      </c>
      <c r="F180">
        <v>8870</v>
      </c>
      <c r="G180" s="4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 s="3">
        <v>781955.52</v>
      </c>
      <c r="N180" s="3">
        <v>152578.71</v>
      </c>
      <c r="O180">
        <f>IF(C180="North",1,0)</f>
        <v>0</v>
      </c>
      <c r="P180">
        <f>IF(C180="South",1,0)</f>
        <v>0</v>
      </c>
      <c r="Q180">
        <f>IF(C180="West",1,0)</f>
        <v>1</v>
      </c>
      <c r="R180">
        <f>IF(D180="Airport",1,0)</f>
        <v>1</v>
      </c>
      <c r="S180">
        <f>IF(D180="High Street",1,0)</f>
        <v>0</v>
      </c>
      <c r="T180">
        <f>IF(D180="Mall",1,0)</f>
        <v>0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 s="3">
        <v>74881.56</v>
      </c>
      <c r="F181">
        <v>9999</v>
      </c>
      <c r="G181" s="4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 s="3">
        <v>898031.04</v>
      </c>
      <c r="N181" s="3">
        <v>138666.5</v>
      </c>
      <c r="O181">
        <f>IF(C181="North",1,0)</f>
        <v>0</v>
      </c>
      <c r="P181">
        <f>IF(C181="South",1,0)</f>
        <v>0</v>
      </c>
      <c r="Q181">
        <f>IF(C181="West",1,0)</f>
        <v>1</v>
      </c>
      <c r="R181">
        <f>IF(D181="Airport",1,0)</f>
        <v>1</v>
      </c>
      <c r="S181">
        <f>IF(D181="High Street",1,0)</f>
        <v>0</v>
      </c>
      <c r="T181">
        <f>IF(D181="Mall",1,0)</f>
        <v>0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 s="3">
        <v>68491.11</v>
      </c>
      <c r="F182">
        <v>11154</v>
      </c>
      <c r="G182" s="4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 s="3">
        <v>855341.28</v>
      </c>
      <c r="N182" s="3">
        <v>175823.8</v>
      </c>
      <c r="O182">
        <f>IF(C182="North",1,0)</f>
        <v>0</v>
      </c>
      <c r="P182">
        <f>IF(C182="South",1,0)</f>
        <v>0</v>
      </c>
      <c r="Q182">
        <f>IF(C182="West",1,0)</f>
        <v>1</v>
      </c>
      <c r="R182">
        <f>IF(D182="Airport",1,0)</f>
        <v>0</v>
      </c>
      <c r="S182">
        <f>IF(D182="High Street",1,0)</f>
        <v>0</v>
      </c>
      <c r="T182">
        <f>IF(D182="Mall",1,0)</f>
        <v>0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 s="3">
        <v>45209.25</v>
      </c>
      <c r="F183">
        <v>9287</v>
      </c>
      <c r="G183" s="4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 s="3">
        <v>751393.88</v>
      </c>
      <c r="N183" s="3">
        <v>91480.320000000007</v>
      </c>
      <c r="O183">
        <f>IF(C183="North",1,0)</f>
        <v>0</v>
      </c>
      <c r="P183">
        <f>IF(C183="South",1,0)</f>
        <v>0</v>
      </c>
      <c r="Q183">
        <f>IF(C183="West",1,0)</f>
        <v>1</v>
      </c>
      <c r="R183">
        <f>IF(D183="Airport",1,0)</f>
        <v>0</v>
      </c>
      <c r="S183">
        <f>IF(D183="High Street",1,0)</f>
        <v>0</v>
      </c>
      <c r="T183">
        <f>IF(D183="Mall",1,0)</f>
        <v>0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 s="3">
        <v>63010.23</v>
      </c>
      <c r="F184">
        <v>9812</v>
      </c>
      <c r="G184" s="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 s="3">
        <v>761077.08</v>
      </c>
      <c r="N184" s="3">
        <v>113605.93</v>
      </c>
      <c r="O184">
        <f>IF(C184="North",1,0)</f>
        <v>0</v>
      </c>
      <c r="P184">
        <f>IF(C184="South",1,0)</f>
        <v>0</v>
      </c>
      <c r="Q184">
        <f>IF(C184="West",1,0)</f>
        <v>1</v>
      </c>
      <c r="R184">
        <f>IF(D184="Airport",1,0)</f>
        <v>0</v>
      </c>
      <c r="S184">
        <f>IF(D184="High Street",1,0)</f>
        <v>0</v>
      </c>
      <c r="T184">
        <f>IF(D184="Mall",1,0)</f>
        <v>0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 s="3">
        <v>57948.88</v>
      </c>
      <c r="F185">
        <v>10741</v>
      </c>
      <c r="G185" s="4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 s="3">
        <v>819660.59</v>
      </c>
      <c r="N185" s="3">
        <v>172699.95</v>
      </c>
      <c r="O185">
        <f>IF(C185="North",1,0)</f>
        <v>0</v>
      </c>
      <c r="P185">
        <f>IF(C185="South",1,0)</f>
        <v>0</v>
      </c>
      <c r="Q185">
        <f>IF(C185="West",1,0)</f>
        <v>1</v>
      </c>
      <c r="R185">
        <f>IF(D185="Airport",1,0)</f>
        <v>0</v>
      </c>
      <c r="S185">
        <f>IF(D185="High Street",1,0)</f>
        <v>0</v>
      </c>
      <c r="T185">
        <f>IF(D185="Mall",1,0)</f>
        <v>0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 s="3">
        <v>71941.62</v>
      </c>
      <c r="F186">
        <v>6084</v>
      </c>
      <c r="G186" s="4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 s="3">
        <v>681855.56</v>
      </c>
      <c r="N186" s="3">
        <v>117645.61</v>
      </c>
      <c r="O186">
        <f>IF(C186="North",1,0)</f>
        <v>1</v>
      </c>
      <c r="P186">
        <f>IF(C186="South",1,0)</f>
        <v>0</v>
      </c>
      <c r="Q186">
        <f>IF(C186="West",1,0)</f>
        <v>0</v>
      </c>
      <c r="R186">
        <f>IF(D186="Airport",1,0)</f>
        <v>0</v>
      </c>
      <c r="S186">
        <f>IF(D186="High Street",1,0)</f>
        <v>1</v>
      </c>
      <c r="T186">
        <f>IF(D186="Mall",1,0)</f>
        <v>0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 s="3">
        <v>57147.88</v>
      </c>
      <c r="F187">
        <v>5252</v>
      </c>
      <c r="G187" s="4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 s="3">
        <v>678311.17</v>
      </c>
      <c r="N187" s="3">
        <v>132029.76000000001</v>
      </c>
      <c r="O187">
        <f>IF(C187="North",1,0)</f>
        <v>1</v>
      </c>
      <c r="P187">
        <f>IF(C187="South",1,0)</f>
        <v>0</v>
      </c>
      <c r="Q187">
        <f>IF(C187="West",1,0)</f>
        <v>0</v>
      </c>
      <c r="R187">
        <f>IF(D187="Airport",1,0)</f>
        <v>0</v>
      </c>
      <c r="S187">
        <f>IF(D187="High Street",1,0)</f>
        <v>1</v>
      </c>
      <c r="T187">
        <f>IF(D187="Mall",1,0)</f>
        <v>0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 s="3">
        <v>48031.74</v>
      </c>
      <c r="F188">
        <v>6516</v>
      </c>
      <c r="G188" s="4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 s="3">
        <v>765906.95</v>
      </c>
      <c r="N188" s="3">
        <v>114005.9</v>
      </c>
      <c r="O188">
        <f>IF(C188="North",1,0)</f>
        <v>1</v>
      </c>
      <c r="P188">
        <f>IF(C188="South",1,0)</f>
        <v>0</v>
      </c>
      <c r="Q188">
        <f>IF(C188="West",1,0)</f>
        <v>0</v>
      </c>
      <c r="R188">
        <f>IF(D188="Airport",1,0)</f>
        <v>0</v>
      </c>
      <c r="S188">
        <f>IF(D188="High Street",1,0)</f>
        <v>1</v>
      </c>
      <c r="T188">
        <f>IF(D188="Mall",1,0)</f>
        <v>0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 s="3">
        <v>72784.800000000003</v>
      </c>
      <c r="F189">
        <v>7932</v>
      </c>
      <c r="G189" s="4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 s="3">
        <v>712546.38</v>
      </c>
      <c r="N189" s="3">
        <v>101480.04</v>
      </c>
      <c r="O189">
        <f>IF(C189="North",1,0)</f>
        <v>1</v>
      </c>
      <c r="P189">
        <f>IF(C189="South",1,0)</f>
        <v>0</v>
      </c>
      <c r="Q189">
        <f>IF(C189="West",1,0)</f>
        <v>0</v>
      </c>
      <c r="R189">
        <f>IF(D189="Airport",1,0)</f>
        <v>0</v>
      </c>
      <c r="S189">
        <f>IF(D189="High Street",1,0)</f>
        <v>1</v>
      </c>
      <c r="T189">
        <f>IF(D189="Mall",1,0)</f>
        <v>0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 s="3">
        <v>71641.899999999994</v>
      </c>
      <c r="F190">
        <v>3506</v>
      </c>
      <c r="G190" s="4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 s="3">
        <v>625993.82999999996</v>
      </c>
      <c r="N190" s="3">
        <v>98960.320000000007</v>
      </c>
      <c r="O190">
        <f>IF(C190="North",1,0)</f>
        <v>0</v>
      </c>
      <c r="P190">
        <f>IF(C190="South",1,0)</f>
        <v>0</v>
      </c>
      <c r="Q190">
        <f>IF(C190="West",1,0)</f>
        <v>0</v>
      </c>
      <c r="R190">
        <f>IF(D190="Airport",1,0)</f>
        <v>0</v>
      </c>
      <c r="S190">
        <f>IF(D190="High Street",1,0)</f>
        <v>1</v>
      </c>
      <c r="T190">
        <f>IF(D190="Mall",1,0)</f>
        <v>0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 s="3">
        <v>55788.61</v>
      </c>
      <c r="F191">
        <v>2312</v>
      </c>
      <c r="G191" s="4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 s="3">
        <v>550962.93000000005</v>
      </c>
      <c r="N191" s="3">
        <v>97144.58</v>
      </c>
      <c r="O191">
        <f>IF(C191="North",1,0)</f>
        <v>0</v>
      </c>
      <c r="P191">
        <f>IF(C191="South",1,0)</f>
        <v>0</v>
      </c>
      <c r="Q191">
        <f>IF(C191="West",1,0)</f>
        <v>0</v>
      </c>
      <c r="R191">
        <f>IF(D191="Airport",1,0)</f>
        <v>0</v>
      </c>
      <c r="S191">
        <f>IF(D191="High Street",1,0)</f>
        <v>1</v>
      </c>
      <c r="T191">
        <f>IF(D191="Mall",1,0)</f>
        <v>0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 s="3">
        <v>37705.879999999997</v>
      </c>
      <c r="F192">
        <v>1268</v>
      </c>
      <c r="G192" s="4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 s="3">
        <v>443275.59</v>
      </c>
      <c r="N192" s="3">
        <v>53544.36</v>
      </c>
      <c r="O192">
        <f>IF(C192="North",1,0)</f>
        <v>0</v>
      </c>
      <c r="P192">
        <f>IF(C192="South",1,0)</f>
        <v>0</v>
      </c>
      <c r="Q192">
        <f>IF(C192="West",1,0)</f>
        <v>0</v>
      </c>
      <c r="R192">
        <f>IF(D192="Airport",1,0)</f>
        <v>0</v>
      </c>
      <c r="S192">
        <f>IF(D192="High Street",1,0)</f>
        <v>1</v>
      </c>
      <c r="T192">
        <f>IF(D192="Mall",1,0)</f>
        <v>0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 s="3">
        <v>54966.18</v>
      </c>
      <c r="F193">
        <v>4423</v>
      </c>
      <c r="G193" s="4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 s="3">
        <v>554012.06999999995</v>
      </c>
      <c r="N193" s="3">
        <v>81101.62</v>
      </c>
      <c r="O193">
        <f>IF(C193="North",1,0)</f>
        <v>0</v>
      </c>
      <c r="P193">
        <f>IF(C193="South",1,0)</f>
        <v>0</v>
      </c>
      <c r="Q193">
        <f>IF(C193="West",1,0)</f>
        <v>0</v>
      </c>
      <c r="R193">
        <f>IF(D193="Airport",1,0)</f>
        <v>0</v>
      </c>
      <c r="S193">
        <f>IF(D193="High Street",1,0)</f>
        <v>1</v>
      </c>
      <c r="T193">
        <f>IF(D193="Mall",1,0)</f>
        <v>0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 s="3">
        <v>81796.740000000005</v>
      </c>
      <c r="F194">
        <v>6177</v>
      </c>
      <c r="G194" s="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 s="3">
        <v>643428.85</v>
      </c>
      <c r="N194" s="3">
        <v>94477.63</v>
      </c>
      <c r="O194">
        <f>IF(C194="North",1,0)</f>
        <v>0</v>
      </c>
      <c r="P194">
        <f>IF(C194="South",1,0)</f>
        <v>0</v>
      </c>
      <c r="Q194">
        <f>IF(C194="West",1,0)</f>
        <v>1</v>
      </c>
      <c r="R194">
        <f>IF(D194="Airport",1,0)</f>
        <v>0</v>
      </c>
      <c r="S194">
        <f>IF(D194="High Street",1,0)</f>
        <v>0</v>
      </c>
      <c r="T194">
        <f>IF(D194="Mall",1,0)</f>
        <v>0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 s="3">
        <v>51133.43</v>
      </c>
      <c r="F195">
        <v>5150</v>
      </c>
      <c r="G195" s="4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 s="3">
        <v>611924.27</v>
      </c>
      <c r="N195" s="3">
        <v>115488.75</v>
      </c>
      <c r="O195">
        <f>IF(C195="North",1,0)</f>
        <v>0</v>
      </c>
      <c r="P195">
        <f>IF(C195="South",1,0)</f>
        <v>0</v>
      </c>
      <c r="Q195">
        <f>IF(C195="West",1,0)</f>
        <v>1</v>
      </c>
      <c r="R195">
        <f>IF(D195="Airport",1,0)</f>
        <v>0</v>
      </c>
      <c r="S195">
        <f>IF(D195="High Street",1,0)</f>
        <v>0</v>
      </c>
      <c r="T195">
        <f>IF(D195="Mall",1,0)</f>
        <v>0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 s="3">
        <v>40220.18</v>
      </c>
      <c r="F196">
        <v>3783</v>
      </c>
      <c r="G196" s="4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 s="3">
        <v>559422.02</v>
      </c>
      <c r="N196" s="3">
        <v>73528.740000000005</v>
      </c>
      <c r="O196">
        <f>IF(C196="North",1,0)</f>
        <v>0</v>
      </c>
      <c r="P196">
        <f>IF(C196="South",1,0)</f>
        <v>0</v>
      </c>
      <c r="Q196">
        <f>IF(C196="West",1,0)</f>
        <v>1</v>
      </c>
      <c r="R196">
        <f>IF(D196="Airport",1,0)</f>
        <v>0</v>
      </c>
      <c r="S196">
        <f>IF(D196="High Street",1,0)</f>
        <v>0</v>
      </c>
      <c r="T196">
        <f>IF(D196="Mall",1,0)</f>
        <v>0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 s="3">
        <v>41657.64</v>
      </c>
      <c r="F197">
        <v>3135</v>
      </c>
      <c r="G197" s="4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 s="3">
        <v>449465.06</v>
      </c>
      <c r="N197" s="3">
        <v>65694.78</v>
      </c>
      <c r="O197">
        <f>IF(C197="North",1,0)</f>
        <v>0</v>
      </c>
      <c r="P197">
        <f>IF(C197="South",1,0)</f>
        <v>0</v>
      </c>
      <c r="Q197">
        <f>IF(C197="West",1,0)</f>
        <v>1</v>
      </c>
      <c r="R197">
        <f>IF(D197="Airport",1,0)</f>
        <v>0</v>
      </c>
      <c r="S197">
        <f>IF(D197="High Street",1,0)</f>
        <v>0</v>
      </c>
      <c r="T197">
        <f>IF(D197="Mall",1,0)</f>
        <v>0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 s="3">
        <v>71851.45</v>
      </c>
      <c r="F198">
        <v>4970</v>
      </c>
      <c r="G198" s="4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 s="3">
        <v>691447.43</v>
      </c>
      <c r="N198" s="3">
        <v>114077.69</v>
      </c>
      <c r="O198">
        <f>IF(C198="North",1,0)</f>
        <v>1</v>
      </c>
      <c r="P198">
        <f>IF(C198="South",1,0)</f>
        <v>0</v>
      </c>
      <c r="Q198">
        <f>IF(C198="West",1,0)</f>
        <v>0</v>
      </c>
      <c r="R198">
        <f>IF(D198="Airport",1,0)</f>
        <v>0</v>
      </c>
      <c r="S198">
        <f>IF(D198="High Street",1,0)</f>
        <v>0</v>
      </c>
      <c r="T198">
        <f>IF(D198="Mall",1,0)</f>
        <v>0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 s="3">
        <v>54002.83</v>
      </c>
      <c r="F199">
        <v>4366</v>
      </c>
      <c r="G199" s="4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 s="3">
        <v>574066.61</v>
      </c>
      <c r="N199" s="3">
        <v>124674.67</v>
      </c>
      <c r="O199">
        <f>IF(C199="North",1,0)</f>
        <v>1</v>
      </c>
      <c r="P199">
        <f>IF(C199="South",1,0)</f>
        <v>0</v>
      </c>
      <c r="Q199">
        <f>IF(C199="West",1,0)</f>
        <v>0</v>
      </c>
      <c r="R199">
        <f>IF(D199="Airport",1,0)</f>
        <v>0</v>
      </c>
      <c r="S199">
        <f>IF(D199="High Street",1,0)</f>
        <v>0</v>
      </c>
      <c r="T199">
        <f>IF(D199="Mall",1,0)</f>
        <v>0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 s="3">
        <v>54479.33</v>
      </c>
      <c r="F200">
        <v>5012</v>
      </c>
      <c r="G200" s="4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 s="3">
        <v>578949.84</v>
      </c>
      <c r="N200" s="3">
        <v>80253.649999999994</v>
      </c>
      <c r="O200">
        <f>IF(C200="North",1,0)</f>
        <v>1</v>
      </c>
      <c r="P200">
        <f>IF(C200="South",1,0)</f>
        <v>0</v>
      </c>
      <c r="Q200">
        <f>IF(C200="West",1,0)</f>
        <v>0</v>
      </c>
      <c r="R200">
        <f>IF(D200="Airport",1,0)</f>
        <v>0</v>
      </c>
      <c r="S200">
        <f>IF(D200="High Street",1,0)</f>
        <v>0</v>
      </c>
      <c r="T200">
        <f>IF(D200="Mall",1,0)</f>
        <v>0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 s="3">
        <v>61391.8</v>
      </c>
      <c r="F201">
        <v>5575</v>
      </c>
      <c r="G201" s="4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 s="3">
        <v>735786.64</v>
      </c>
      <c r="N201" s="3">
        <v>126540.66</v>
      </c>
      <c r="O201">
        <f>IF(C201="North",1,0)</f>
        <v>1</v>
      </c>
      <c r="P201">
        <f>IF(C201="South",1,0)</f>
        <v>0</v>
      </c>
      <c r="Q201">
        <f>IF(C201="West",1,0)</f>
        <v>0</v>
      </c>
      <c r="R201">
        <f>IF(D201="Airport",1,0)</f>
        <v>0</v>
      </c>
      <c r="S201">
        <f>IF(D201="High Street",1,0)</f>
        <v>0</v>
      </c>
      <c r="T201">
        <f>IF(D201="Mall",1,0)</f>
        <v>0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 s="3">
        <v>22312.93</v>
      </c>
      <c r="F202">
        <v>5955</v>
      </c>
      <c r="G202" s="4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 s="3">
        <v>598904.9</v>
      </c>
      <c r="N202" s="3">
        <v>72861</v>
      </c>
      <c r="O202">
        <f>IF(C202="North",1,0)</f>
        <v>0</v>
      </c>
      <c r="P202">
        <f>IF(C202="South",1,0)</f>
        <v>0</v>
      </c>
      <c r="Q202">
        <f>IF(C202="West",1,0)</f>
        <v>0</v>
      </c>
      <c r="R202">
        <f>IF(D202="Airport",1,0)</f>
        <v>1</v>
      </c>
      <c r="S202">
        <f>IF(D202="High Street",1,0)</f>
        <v>0</v>
      </c>
      <c r="T202">
        <f>IF(D202="Mall",1,0)</f>
        <v>0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 s="3">
        <v>78111.97</v>
      </c>
      <c r="F203">
        <v>6389</v>
      </c>
      <c r="G203" s="4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 s="3">
        <v>787715.51</v>
      </c>
      <c r="N203" s="3">
        <v>128969.62</v>
      </c>
      <c r="O203">
        <f>IF(C203="North",1,0)</f>
        <v>0</v>
      </c>
      <c r="P203">
        <f>IF(C203="South",1,0)</f>
        <v>0</v>
      </c>
      <c r="Q203">
        <f>IF(C203="West",1,0)</f>
        <v>0</v>
      </c>
      <c r="R203">
        <f>IF(D203="Airport",1,0)</f>
        <v>1</v>
      </c>
      <c r="S203">
        <f>IF(D203="High Street",1,0)</f>
        <v>0</v>
      </c>
      <c r="T203">
        <f>IF(D203="Mall",1,0)</f>
        <v>0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 s="3">
        <v>35203.230000000003</v>
      </c>
      <c r="F204">
        <v>6896</v>
      </c>
      <c r="G204" s="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 s="3">
        <v>607084.92000000004</v>
      </c>
      <c r="N204" s="3">
        <v>98558.49</v>
      </c>
      <c r="O204">
        <f>IF(C204="North",1,0)</f>
        <v>0</v>
      </c>
      <c r="P204">
        <f>IF(C204="South",1,0)</f>
        <v>0</v>
      </c>
      <c r="Q204">
        <f>IF(C204="West",1,0)</f>
        <v>0</v>
      </c>
      <c r="R204">
        <f>IF(D204="Airport",1,0)</f>
        <v>1</v>
      </c>
      <c r="S204">
        <f>IF(D204="High Street",1,0)</f>
        <v>0</v>
      </c>
      <c r="T204">
        <f>IF(D204="Mall",1,0)</f>
        <v>0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 s="3">
        <v>64104.28</v>
      </c>
      <c r="F205">
        <v>6015</v>
      </c>
      <c r="G205" s="4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 s="3">
        <v>650795.49</v>
      </c>
      <c r="N205" s="3">
        <v>103035.89</v>
      </c>
      <c r="O205">
        <f>IF(C205="North",1,0)</f>
        <v>0</v>
      </c>
      <c r="P205">
        <f>IF(C205="South",1,0)</f>
        <v>0</v>
      </c>
      <c r="Q205">
        <f>IF(C205="West",1,0)</f>
        <v>0</v>
      </c>
      <c r="R205">
        <f>IF(D205="Airport",1,0)</f>
        <v>1</v>
      </c>
      <c r="S205">
        <f>IF(D205="High Street",1,0)</f>
        <v>0</v>
      </c>
      <c r="T205">
        <f>IF(D205="Mall",1,0)</f>
        <v>0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 s="3">
        <v>92090.14</v>
      </c>
      <c r="F206">
        <v>9476</v>
      </c>
      <c r="G206" s="4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 s="3">
        <v>825060.52</v>
      </c>
      <c r="N206" s="3">
        <v>143613.15</v>
      </c>
      <c r="O206">
        <f>IF(C206="North",1,0)</f>
        <v>0</v>
      </c>
      <c r="P206">
        <f>IF(C206="South",1,0)</f>
        <v>0</v>
      </c>
      <c r="Q206">
        <f>IF(C206="West",1,0)</f>
        <v>0</v>
      </c>
      <c r="R206">
        <f>IF(D206="Airport",1,0)</f>
        <v>0</v>
      </c>
      <c r="S206">
        <f>IF(D206="High Street",1,0)</f>
        <v>0</v>
      </c>
      <c r="T206">
        <f>IF(D206="Mall",1,0)</f>
        <v>1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 s="3">
        <v>54300.87</v>
      </c>
      <c r="F207">
        <v>7875</v>
      </c>
      <c r="G207" s="4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 s="3">
        <v>795464.47</v>
      </c>
      <c r="N207" s="3">
        <v>161150.51999999999</v>
      </c>
      <c r="O207">
        <f>IF(C207="North",1,0)</f>
        <v>0</v>
      </c>
      <c r="P207">
        <f>IF(C207="South",1,0)</f>
        <v>0</v>
      </c>
      <c r="Q207">
        <f>IF(C207="West",1,0)</f>
        <v>0</v>
      </c>
      <c r="R207">
        <f>IF(D207="Airport",1,0)</f>
        <v>0</v>
      </c>
      <c r="S207">
        <f>IF(D207="High Street",1,0)</f>
        <v>0</v>
      </c>
      <c r="T207">
        <f>IF(D207="Mall",1,0)</f>
        <v>1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 s="3">
        <v>37983.35</v>
      </c>
      <c r="F208">
        <v>9283</v>
      </c>
      <c r="G208" s="4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 s="3">
        <v>671868.59</v>
      </c>
      <c r="N208" s="3">
        <v>71003.28</v>
      </c>
      <c r="O208">
        <f>IF(C208="North",1,0)</f>
        <v>0</v>
      </c>
      <c r="P208">
        <f>IF(C208="South",1,0)</f>
        <v>0</v>
      </c>
      <c r="Q208">
        <f>IF(C208="West",1,0)</f>
        <v>0</v>
      </c>
      <c r="R208">
        <f>IF(D208="Airport",1,0)</f>
        <v>0</v>
      </c>
      <c r="S208">
        <f>IF(D208="High Street",1,0)</f>
        <v>0</v>
      </c>
      <c r="T208">
        <f>IF(D208="Mall",1,0)</f>
        <v>1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 s="3">
        <v>56413.83</v>
      </c>
      <c r="F209">
        <v>8303</v>
      </c>
      <c r="G209" s="4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 s="3">
        <v>675917.63</v>
      </c>
      <c r="N209" s="3">
        <v>112564.75</v>
      </c>
      <c r="O209">
        <f>IF(C209="North",1,0)</f>
        <v>0</v>
      </c>
      <c r="P209">
        <f>IF(C209="South",1,0)</f>
        <v>0</v>
      </c>
      <c r="Q209">
        <f>IF(C209="West",1,0)</f>
        <v>0</v>
      </c>
      <c r="R209">
        <f>IF(D209="Airport",1,0)</f>
        <v>0</v>
      </c>
      <c r="S209">
        <f>IF(D209="High Street",1,0)</f>
        <v>0</v>
      </c>
      <c r="T209">
        <f>IF(D209="Mall",1,0)</f>
        <v>1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 s="3">
        <v>63457.19</v>
      </c>
      <c r="F210">
        <v>10125</v>
      </c>
      <c r="G210" s="4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 s="3">
        <v>810446.53</v>
      </c>
      <c r="N210" s="3">
        <v>200575.34</v>
      </c>
      <c r="O210">
        <f>IF(C210="North",1,0)</f>
        <v>0</v>
      </c>
      <c r="P210">
        <f>IF(C210="South",1,0)</f>
        <v>0</v>
      </c>
      <c r="Q210">
        <f>IF(C210="West",1,0)</f>
        <v>0</v>
      </c>
      <c r="R210">
        <f>IF(D210="Airport",1,0)</f>
        <v>0</v>
      </c>
      <c r="S210">
        <f>IF(D210="High Street",1,0)</f>
        <v>1</v>
      </c>
      <c r="T210">
        <f>IF(D210="Mall",1,0)</f>
        <v>0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 s="3">
        <v>62949.7</v>
      </c>
      <c r="F211">
        <v>9458</v>
      </c>
      <c r="G211" s="4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 s="3">
        <v>691288.19</v>
      </c>
      <c r="N211" s="3">
        <v>159074.14000000001</v>
      </c>
      <c r="O211">
        <f>IF(C211="North",1,0)</f>
        <v>0</v>
      </c>
      <c r="P211">
        <f>IF(C211="South",1,0)</f>
        <v>0</v>
      </c>
      <c r="Q211">
        <f>IF(C211="West",1,0)</f>
        <v>0</v>
      </c>
      <c r="R211">
        <f>IF(D211="Airport",1,0)</f>
        <v>0</v>
      </c>
      <c r="S211">
        <f>IF(D211="High Street",1,0)</f>
        <v>1</v>
      </c>
      <c r="T211">
        <f>IF(D211="Mall",1,0)</f>
        <v>0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 s="3">
        <v>107970.19</v>
      </c>
      <c r="F212">
        <v>12870</v>
      </c>
      <c r="G212" s="4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 s="3">
        <v>946833.54</v>
      </c>
      <c r="N212" s="3">
        <v>184540.31</v>
      </c>
      <c r="O212">
        <f>IF(C212="North",1,0)</f>
        <v>0</v>
      </c>
      <c r="P212">
        <f>IF(C212="South",1,0)</f>
        <v>0</v>
      </c>
      <c r="Q212">
        <f>IF(C212="West",1,0)</f>
        <v>0</v>
      </c>
      <c r="R212">
        <f>IF(D212="Airport",1,0)</f>
        <v>0</v>
      </c>
      <c r="S212">
        <f>IF(D212="High Street",1,0)</f>
        <v>1</v>
      </c>
      <c r="T212">
        <f>IF(D212="Mall",1,0)</f>
        <v>0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 s="3">
        <v>49405.75</v>
      </c>
      <c r="F213">
        <v>9752</v>
      </c>
      <c r="G213" s="4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 s="3">
        <v>761963.23</v>
      </c>
      <c r="N213" s="3">
        <v>150113.60999999999</v>
      </c>
      <c r="O213">
        <f>IF(C213="North",1,0)</f>
        <v>0</v>
      </c>
      <c r="P213">
        <f>IF(C213="South",1,0)</f>
        <v>0</v>
      </c>
      <c r="Q213">
        <f>IF(C213="West",1,0)</f>
        <v>0</v>
      </c>
      <c r="R213">
        <f>IF(D213="Airport",1,0)</f>
        <v>0</v>
      </c>
      <c r="S213">
        <f>IF(D213="High Street",1,0)</f>
        <v>1</v>
      </c>
      <c r="T213">
        <f>IF(D213="Mall",1,0)</f>
        <v>0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 s="3">
        <v>50887.46</v>
      </c>
      <c r="F214">
        <v>9505</v>
      </c>
      <c r="G214" s="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 s="3">
        <v>812152.6</v>
      </c>
      <c r="N214" s="3">
        <v>138419.43</v>
      </c>
      <c r="O214">
        <f>IF(C214="North",1,0)</f>
        <v>0</v>
      </c>
      <c r="P214">
        <f>IF(C214="South",1,0)</f>
        <v>0</v>
      </c>
      <c r="Q214">
        <f>IF(C214="West",1,0)</f>
        <v>1</v>
      </c>
      <c r="R214">
        <f>IF(D214="Airport",1,0)</f>
        <v>0</v>
      </c>
      <c r="S214">
        <f>IF(D214="High Street",1,0)</f>
        <v>0</v>
      </c>
      <c r="T214">
        <f>IF(D214="Mall",1,0)</f>
        <v>0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 s="3">
        <v>41819.449999999997</v>
      </c>
      <c r="F215">
        <v>9412</v>
      </c>
      <c r="G215" s="4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 s="3">
        <v>804975.5</v>
      </c>
      <c r="N215" s="3">
        <v>140054.5</v>
      </c>
      <c r="O215">
        <f>IF(C215="North",1,0)</f>
        <v>0</v>
      </c>
      <c r="P215">
        <f>IF(C215="South",1,0)</f>
        <v>0</v>
      </c>
      <c r="Q215">
        <f>IF(C215="West",1,0)</f>
        <v>1</v>
      </c>
      <c r="R215">
        <f>IF(D215="Airport",1,0)</f>
        <v>0</v>
      </c>
      <c r="S215">
        <f>IF(D215="High Street",1,0)</f>
        <v>0</v>
      </c>
      <c r="T215">
        <f>IF(D215="Mall",1,0)</f>
        <v>0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 s="3">
        <v>35296.54</v>
      </c>
      <c r="F216">
        <v>9644</v>
      </c>
      <c r="G216" s="4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 s="3">
        <v>752321.72</v>
      </c>
      <c r="N216" s="3">
        <v>137788.51</v>
      </c>
      <c r="O216">
        <f>IF(C216="North",1,0)</f>
        <v>0</v>
      </c>
      <c r="P216">
        <f>IF(C216="South",1,0)</f>
        <v>0</v>
      </c>
      <c r="Q216">
        <f>IF(C216="West",1,0)</f>
        <v>1</v>
      </c>
      <c r="R216">
        <f>IF(D216="Airport",1,0)</f>
        <v>0</v>
      </c>
      <c r="S216">
        <f>IF(D216="High Street",1,0)</f>
        <v>0</v>
      </c>
      <c r="T216">
        <f>IF(D216="Mall",1,0)</f>
        <v>0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 s="3">
        <v>47391.09</v>
      </c>
      <c r="F217">
        <v>11224</v>
      </c>
      <c r="G217" s="4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 s="3">
        <v>836908.24</v>
      </c>
      <c r="N217" s="3">
        <v>141090.26</v>
      </c>
      <c r="O217">
        <f>IF(C217="North",1,0)</f>
        <v>0</v>
      </c>
      <c r="P217">
        <f>IF(C217="South",1,0)</f>
        <v>0</v>
      </c>
      <c r="Q217">
        <f>IF(C217="West",1,0)</f>
        <v>1</v>
      </c>
      <c r="R217">
        <f>IF(D217="Airport",1,0)</f>
        <v>0</v>
      </c>
      <c r="S217">
        <f>IF(D217="High Street",1,0)</f>
        <v>0</v>
      </c>
      <c r="T217">
        <f>IF(D217="Mall",1,0)</f>
        <v>0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 s="3">
        <v>69180.539999999994</v>
      </c>
      <c r="F218">
        <v>5394</v>
      </c>
      <c r="G218" s="4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 s="3">
        <v>674289.1</v>
      </c>
      <c r="N218" s="3">
        <v>117773.79</v>
      </c>
      <c r="O218">
        <f>IF(C218="North",1,0)</f>
        <v>1</v>
      </c>
      <c r="P218">
        <f>IF(C218="South",1,0)</f>
        <v>0</v>
      </c>
      <c r="Q218">
        <f>IF(C218="West",1,0)</f>
        <v>0</v>
      </c>
      <c r="R218">
        <f>IF(D218="Airport",1,0)</f>
        <v>1</v>
      </c>
      <c r="S218">
        <f>IF(D218="High Street",1,0)</f>
        <v>0</v>
      </c>
      <c r="T218">
        <f>IF(D218="Mall",1,0)</f>
        <v>0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 s="3">
        <v>33987.33</v>
      </c>
      <c r="F219">
        <v>5014</v>
      </c>
      <c r="G219" s="4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 s="3">
        <v>622892.42000000004</v>
      </c>
      <c r="N219" s="3">
        <v>101032.52</v>
      </c>
      <c r="O219">
        <f>IF(C219="North",1,0)</f>
        <v>1</v>
      </c>
      <c r="P219">
        <f>IF(C219="South",1,0)</f>
        <v>0</v>
      </c>
      <c r="Q219">
        <f>IF(C219="West",1,0)</f>
        <v>0</v>
      </c>
      <c r="R219">
        <f>IF(D219="Airport",1,0)</f>
        <v>1</v>
      </c>
      <c r="S219">
        <f>IF(D219="High Street",1,0)</f>
        <v>0</v>
      </c>
      <c r="T219">
        <f>IF(D219="Mall",1,0)</f>
        <v>0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 s="3">
        <v>58785.33</v>
      </c>
      <c r="F220">
        <v>4467</v>
      </c>
      <c r="G220" s="4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 s="3">
        <v>673348.56</v>
      </c>
      <c r="N220" s="3">
        <v>69464.59</v>
      </c>
      <c r="O220">
        <f>IF(C220="North",1,0)</f>
        <v>1</v>
      </c>
      <c r="P220">
        <f>IF(C220="South",1,0)</f>
        <v>0</v>
      </c>
      <c r="Q220">
        <f>IF(C220="West",1,0)</f>
        <v>0</v>
      </c>
      <c r="R220">
        <f>IF(D220="Airport",1,0)</f>
        <v>1</v>
      </c>
      <c r="S220">
        <f>IF(D220="High Street",1,0)</f>
        <v>0</v>
      </c>
      <c r="T220">
        <f>IF(D220="Mall",1,0)</f>
        <v>0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 s="3">
        <v>16451.849999999999</v>
      </c>
      <c r="F221">
        <v>4678</v>
      </c>
      <c r="G221" s="4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 s="3">
        <v>606278.30000000005</v>
      </c>
      <c r="N221" s="3">
        <v>102213.26</v>
      </c>
      <c r="O221">
        <f>IF(C221="North",1,0)</f>
        <v>1</v>
      </c>
      <c r="P221">
        <f>IF(C221="South",1,0)</f>
        <v>0</v>
      </c>
      <c r="Q221">
        <f>IF(C221="West",1,0)</f>
        <v>0</v>
      </c>
      <c r="R221">
        <f>IF(D221="Airport",1,0)</f>
        <v>1</v>
      </c>
      <c r="S221">
        <f>IF(D221="High Street",1,0)</f>
        <v>0</v>
      </c>
      <c r="T221">
        <f>IF(D221="Mall",1,0)</f>
        <v>0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 s="3">
        <v>53367.73</v>
      </c>
      <c r="F222">
        <v>7291</v>
      </c>
      <c r="G222" s="4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 s="3">
        <v>712219.81</v>
      </c>
      <c r="N222" s="3">
        <v>85906.54</v>
      </c>
      <c r="O222">
        <f>IF(C222="North",1,0)</f>
        <v>0</v>
      </c>
      <c r="P222">
        <f>IF(C222="South",1,0)</f>
        <v>0</v>
      </c>
      <c r="Q222">
        <f>IF(C222="West",1,0)</f>
        <v>0</v>
      </c>
      <c r="R222">
        <f>IF(D222="Airport",1,0)</f>
        <v>0</v>
      </c>
      <c r="S222">
        <f>IF(D222="High Street",1,0)</f>
        <v>1</v>
      </c>
      <c r="T222">
        <f>IF(D222="Mall",1,0)</f>
        <v>0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 s="3">
        <v>27194.639999999999</v>
      </c>
      <c r="F223">
        <v>7404</v>
      </c>
      <c r="G223" s="4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 s="3">
        <v>672670.54</v>
      </c>
      <c r="N223" s="3">
        <v>132684.18</v>
      </c>
      <c r="O223">
        <f>IF(C223="North",1,0)</f>
        <v>0</v>
      </c>
      <c r="P223">
        <f>IF(C223="South",1,0)</f>
        <v>0</v>
      </c>
      <c r="Q223">
        <f>IF(C223="West",1,0)</f>
        <v>0</v>
      </c>
      <c r="R223">
        <f>IF(D223="Airport",1,0)</f>
        <v>0</v>
      </c>
      <c r="S223">
        <f>IF(D223="High Street",1,0)</f>
        <v>1</v>
      </c>
      <c r="T223">
        <f>IF(D223="Mall",1,0)</f>
        <v>0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 s="3">
        <v>66962.740000000005</v>
      </c>
      <c r="F224">
        <v>7880</v>
      </c>
      <c r="G224" s="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 s="3">
        <v>732667.92</v>
      </c>
      <c r="N224" s="3">
        <v>128654.46</v>
      </c>
      <c r="O224">
        <f>IF(C224="North",1,0)</f>
        <v>0</v>
      </c>
      <c r="P224">
        <f>IF(C224="South",1,0)</f>
        <v>0</v>
      </c>
      <c r="Q224">
        <f>IF(C224="West",1,0)</f>
        <v>0</v>
      </c>
      <c r="R224">
        <f>IF(D224="Airport",1,0)</f>
        <v>0</v>
      </c>
      <c r="S224">
        <f>IF(D224="High Street",1,0)</f>
        <v>1</v>
      </c>
      <c r="T224">
        <f>IF(D224="Mall",1,0)</f>
        <v>0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 s="3">
        <v>73540.990000000005</v>
      </c>
      <c r="F225">
        <v>8773</v>
      </c>
      <c r="G225" s="4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 s="3">
        <v>723531.4</v>
      </c>
      <c r="N225" s="3">
        <v>108794.85</v>
      </c>
      <c r="O225">
        <f>IF(C225="North",1,0)</f>
        <v>0</v>
      </c>
      <c r="P225">
        <f>IF(C225="South",1,0)</f>
        <v>0</v>
      </c>
      <c r="Q225">
        <f>IF(C225="West",1,0)</f>
        <v>0</v>
      </c>
      <c r="R225">
        <f>IF(D225="Airport",1,0)</f>
        <v>0</v>
      </c>
      <c r="S225">
        <f>IF(D225="High Street",1,0)</f>
        <v>1</v>
      </c>
      <c r="T225">
        <f>IF(D225="Mall",1,0)</f>
        <v>0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 s="3">
        <v>68212.289999999994</v>
      </c>
      <c r="F226">
        <v>4713</v>
      </c>
      <c r="G226" s="4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 s="3">
        <v>641564.6</v>
      </c>
      <c r="N226" s="3">
        <v>90468.96</v>
      </c>
      <c r="O226">
        <f>IF(C226="North",1,0)</f>
        <v>0</v>
      </c>
      <c r="P226">
        <f>IF(C226="South",1,0)</f>
        <v>0</v>
      </c>
      <c r="Q226">
        <f>IF(C226="West",1,0)</f>
        <v>0</v>
      </c>
      <c r="R226">
        <f>IF(D226="Airport",1,0)</f>
        <v>0</v>
      </c>
      <c r="S226">
        <f>IF(D226="High Street",1,0)</f>
        <v>0</v>
      </c>
      <c r="T226">
        <f>IF(D226="Mall",1,0)</f>
        <v>1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 s="3">
        <v>57225.98</v>
      </c>
      <c r="F227">
        <v>2842</v>
      </c>
      <c r="G227" s="4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 s="3">
        <v>536545.49</v>
      </c>
      <c r="N227" s="3">
        <v>97917.45</v>
      </c>
      <c r="O227">
        <f>IF(C227="North",1,0)</f>
        <v>0</v>
      </c>
      <c r="P227">
        <f>IF(C227="South",1,0)</f>
        <v>0</v>
      </c>
      <c r="Q227">
        <f>IF(C227="West",1,0)</f>
        <v>0</v>
      </c>
      <c r="R227">
        <f>IF(D227="Airport",1,0)</f>
        <v>0</v>
      </c>
      <c r="S227">
        <f>IF(D227="High Street",1,0)</f>
        <v>0</v>
      </c>
      <c r="T227">
        <f>IF(D227="Mall",1,0)</f>
        <v>1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 s="3">
        <v>42932.02</v>
      </c>
      <c r="F228">
        <v>3872</v>
      </c>
      <c r="G228" s="4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 s="3">
        <v>527681.56000000006</v>
      </c>
      <c r="N228" s="3">
        <v>63153.05</v>
      </c>
      <c r="O228">
        <f>IF(C228="North",1,0)</f>
        <v>0</v>
      </c>
      <c r="P228">
        <f>IF(C228="South",1,0)</f>
        <v>0</v>
      </c>
      <c r="Q228">
        <f>IF(C228="West",1,0)</f>
        <v>0</v>
      </c>
      <c r="R228">
        <f>IF(D228="Airport",1,0)</f>
        <v>0</v>
      </c>
      <c r="S228">
        <f>IF(D228="High Street",1,0)</f>
        <v>0</v>
      </c>
      <c r="T228">
        <f>IF(D228="Mall",1,0)</f>
        <v>1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 s="3">
        <v>39341.449999999997</v>
      </c>
      <c r="F229">
        <v>1375</v>
      </c>
      <c r="G229" s="4">
        <v>9.2999999999999999E-2</v>
      </c>
      <c r="H229">
        <v>5</v>
      </c>
      <c r="I229">
        <v>95</v>
      </c>
      <c r="J229">
        <v>5.32</v>
      </c>
      <c r="K229">
        <v>0</v>
      </c>
      <c r="L229">
        <v>3.9</v>
      </c>
      <c r="M229" s="3">
        <v>529598.93999999994</v>
      </c>
      <c r="N229" s="3">
        <v>84334.33</v>
      </c>
      <c r="O229">
        <f>IF(C229="North",1,0)</f>
        <v>0</v>
      </c>
      <c r="P229">
        <f>IF(C229="South",1,0)</f>
        <v>0</v>
      </c>
      <c r="Q229">
        <f>IF(C229="West",1,0)</f>
        <v>0</v>
      </c>
      <c r="R229">
        <f>IF(D229="Airport",1,0)</f>
        <v>0</v>
      </c>
      <c r="S229">
        <f>IF(D229="High Street",1,0)</f>
        <v>0</v>
      </c>
      <c r="T229">
        <f>IF(D229="Mall",1,0)</f>
        <v>1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 s="3">
        <v>37324.230000000003</v>
      </c>
      <c r="F230">
        <v>5957</v>
      </c>
      <c r="G230" s="4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 s="3">
        <v>570963.31000000006</v>
      </c>
      <c r="N230" s="3">
        <v>87342.25</v>
      </c>
      <c r="O230">
        <f>IF(C230="North",1,0)</f>
        <v>0</v>
      </c>
      <c r="P230">
        <f>IF(C230="South",1,0)</f>
        <v>0</v>
      </c>
      <c r="Q230">
        <f>IF(C230="West",1,0)</f>
        <v>0</v>
      </c>
      <c r="R230">
        <f>IF(D230="Airport",1,0)</f>
        <v>0</v>
      </c>
      <c r="S230">
        <f>IF(D230="High Street",1,0)</f>
        <v>1</v>
      </c>
      <c r="T230">
        <f>IF(D230="Mall",1,0)</f>
        <v>0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 s="3">
        <v>113736</v>
      </c>
      <c r="F231">
        <v>8961</v>
      </c>
      <c r="G231" s="4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 s="3">
        <v>870937.4</v>
      </c>
      <c r="N231" s="3">
        <v>175282.74</v>
      </c>
      <c r="O231">
        <f>IF(C231="North",1,0)</f>
        <v>0</v>
      </c>
      <c r="P231">
        <f>IF(C231="South",1,0)</f>
        <v>0</v>
      </c>
      <c r="Q231">
        <f>IF(C231="West",1,0)</f>
        <v>0</v>
      </c>
      <c r="R231">
        <f>IF(D231="Airport",1,0)</f>
        <v>0</v>
      </c>
      <c r="S231">
        <f>IF(D231="High Street",1,0)</f>
        <v>1</v>
      </c>
      <c r="T231">
        <f>IF(D231="Mall",1,0)</f>
        <v>0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 s="3">
        <v>33173.949999999997</v>
      </c>
      <c r="F232">
        <v>6545</v>
      </c>
      <c r="G232" s="4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 s="3">
        <v>596969.27</v>
      </c>
      <c r="N232" s="3">
        <v>105669.51</v>
      </c>
      <c r="O232">
        <f>IF(C232="North",1,0)</f>
        <v>0</v>
      </c>
      <c r="P232">
        <f>IF(C232="South",1,0)</f>
        <v>0</v>
      </c>
      <c r="Q232">
        <f>IF(C232="West",1,0)</f>
        <v>0</v>
      </c>
      <c r="R232">
        <f>IF(D232="Airport",1,0)</f>
        <v>0</v>
      </c>
      <c r="S232">
        <f>IF(D232="High Street",1,0)</f>
        <v>1</v>
      </c>
      <c r="T232">
        <f>IF(D232="Mall",1,0)</f>
        <v>0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 s="3">
        <v>25818.080000000002</v>
      </c>
      <c r="F233">
        <v>5457</v>
      </c>
      <c r="G233" s="4">
        <v>0</v>
      </c>
      <c r="H233">
        <v>11</v>
      </c>
      <c r="I233">
        <v>95.4</v>
      </c>
      <c r="J233">
        <v>3.3650000000000002</v>
      </c>
      <c r="K233">
        <v>0</v>
      </c>
      <c r="L233">
        <v>3.7</v>
      </c>
      <c r="M233" s="3">
        <v>647512.85</v>
      </c>
      <c r="N233" s="3">
        <v>153835.57</v>
      </c>
      <c r="O233">
        <f>IF(C233="North",1,0)</f>
        <v>0</v>
      </c>
      <c r="P233">
        <f>IF(C233="South",1,0)</f>
        <v>0</v>
      </c>
      <c r="Q233">
        <f>IF(C233="West",1,0)</f>
        <v>0</v>
      </c>
      <c r="R233">
        <f>IF(D233="Airport",1,0)</f>
        <v>0</v>
      </c>
      <c r="S233">
        <f>IF(D233="High Street",1,0)</f>
        <v>1</v>
      </c>
      <c r="T233">
        <f>IF(D233="Mall",1,0)</f>
        <v>0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 s="3">
        <v>47241.919999999998</v>
      </c>
      <c r="F234">
        <v>4264</v>
      </c>
      <c r="G234" s="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 s="3">
        <v>658072.14</v>
      </c>
      <c r="N234" s="3">
        <v>110595.89</v>
      </c>
      <c r="O234">
        <f>IF(C234="North",1,0)</f>
        <v>0</v>
      </c>
      <c r="P234">
        <f>IF(C234="South",1,0)</f>
        <v>0</v>
      </c>
      <c r="Q234">
        <f>IF(C234="West",1,0)</f>
        <v>1</v>
      </c>
      <c r="R234">
        <f>IF(D234="Airport",1,0)</f>
        <v>0</v>
      </c>
      <c r="S234">
        <f>IF(D234="High Street",1,0)</f>
        <v>0</v>
      </c>
      <c r="T234">
        <f>IF(D234="Mall",1,0)</f>
        <v>0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 s="3">
        <v>61650.79</v>
      </c>
      <c r="F235">
        <v>5321</v>
      </c>
      <c r="G235" s="4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 s="3">
        <v>723305.11</v>
      </c>
      <c r="N235" s="3">
        <v>128468.7</v>
      </c>
      <c r="O235">
        <f>IF(C235="North",1,0)</f>
        <v>0</v>
      </c>
      <c r="P235">
        <f>IF(C235="South",1,0)</f>
        <v>0</v>
      </c>
      <c r="Q235">
        <f>IF(C235="West",1,0)</f>
        <v>1</v>
      </c>
      <c r="R235">
        <f>IF(D235="Airport",1,0)</f>
        <v>0</v>
      </c>
      <c r="S235">
        <f>IF(D235="High Street",1,0)</f>
        <v>0</v>
      </c>
      <c r="T235">
        <f>IF(D235="Mall",1,0)</f>
        <v>0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 s="3">
        <v>62582.71</v>
      </c>
      <c r="F236">
        <v>5479</v>
      </c>
      <c r="G236" s="4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 s="3">
        <v>640666.53</v>
      </c>
      <c r="N236" s="3">
        <v>134919.16</v>
      </c>
      <c r="O236">
        <f>IF(C236="North",1,0)</f>
        <v>0</v>
      </c>
      <c r="P236">
        <f>IF(C236="South",1,0)</f>
        <v>0</v>
      </c>
      <c r="Q236">
        <f>IF(C236="West",1,0)</f>
        <v>1</v>
      </c>
      <c r="R236">
        <f>IF(D236="Airport",1,0)</f>
        <v>0</v>
      </c>
      <c r="S236">
        <f>IF(D236="High Street",1,0)</f>
        <v>0</v>
      </c>
      <c r="T236">
        <f>IF(D236="Mall",1,0)</f>
        <v>0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 s="3">
        <v>47944.14</v>
      </c>
      <c r="F237">
        <v>6169</v>
      </c>
      <c r="G237" s="4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 s="3">
        <v>670629.48</v>
      </c>
      <c r="N237" s="3">
        <v>100140.8</v>
      </c>
      <c r="O237">
        <f>IF(C237="North",1,0)</f>
        <v>0</v>
      </c>
      <c r="P237">
        <f>IF(C237="South",1,0)</f>
        <v>0</v>
      </c>
      <c r="Q237">
        <f>IF(C237="West",1,0)</f>
        <v>1</v>
      </c>
      <c r="R237">
        <f>IF(D237="Airport",1,0)</f>
        <v>0</v>
      </c>
      <c r="S237">
        <f>IF(D237="High Street",1,0)</f>
        <v>0</v>
      </c>
      <c r="T237">
        <f>IF(D237="Mall",1,0)</f>
        <v>0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 s="3">
        <v>46495.4</v>
      </c>
      <c r="F238">
        <v>9908</v>
      </c>
      <c r="G238" s="4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 s="3">
        <v>721079.35</v>
      </c>
      <c r="N238" s="3">
        <v>115295.05</v>
      </c>
      <c r="O238">
        <f>IF(C238="North",1,0)</f>
        <v>0</v>
      </c>
      <c r="P238">
        <f>IF(C238="South",1,0)</f>
        <v>0</v>
      </c>
      <c r="Q238">
        <f>IF(C238="West",1,0)</f>
        <v>1</v>
      </c>
      <c r="R238">
        <f>IF(D238="Airport",1,0)</f>
        <v>0</v>
      </c>
      <c r="S238">
        <f>IF(D238="High Street",1,0)</f>
        <v>0</v>
      </c>
      <c r="T238">
        <f>IF(D238="Mall",1,0)</f>
        <v>1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 s="3">
        <v>72961.95</v>
      </c>
      <c r="F239">
        <v>9996</v>
      </c>
      <c r="G239" s="4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 s="3">
        <v>810355.02</v>
      </c>
      <c r="N239" s="3">
        <v>131510</v>
      </c>
      <c r="O239">
        <f>IF(C239="North",1,0)</f>
        <v>0</v>
      </c>
      <c r="P239">
        <f>IF(C239="South",1,0)</f>
        <v>0</v>
      </c>
      <c r="Q239">
        <f>IF(C239="West",1,0)</f>
        <v>1</v>
      </c>
      <c r="R239">
        <f>IF(D239="Airport",1,0)</f>
        <v>0</v>
      </c>
      <c r="S239">
        <f>IF(D239="High Street",1,0)</f>
        <v>0</v>
      </c>
      <c r="T239">
        <f>IF(D239="Mall",1,0)</f>
        <v>1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 s="3">
        <v>59060.05</v>
      </c>
      <c r="F240">
        <v>9702</v>
      </c>
      <c r="G240" s="4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 s="3">
        <v>761919.25</v>
      </c>
      <c r="N240" s="3">
        <v>111893.06</v>
      </c>
      <c r="O240">
        <f>IF(C240="North",1,0)</f>
        <v>0</v>
      </c>
      <c r="P240">
        <f>IF(C240="South",1,0)</f>
        <v>0</v>
      </c>
      <c r="Q240">
        <f>IF(C240="West",1,0)</f>
        <v>1</v>
      </c>
      <c r="R240">
        <f>IF(D240="Airport",1,0)</f>
        <v>0</v>
      </c>
      <c r="S240">
        <f>IF(D240="High Street",1,0)</f>
        <v>0</v>
      </c>
      <c r="T240">
        <f>IF(D240="Mall",1,0)</f>
        <v>1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 s="3">
        <v>26248.1</v>
      </c>
      <c r="F241">
        <v>9314</v>
      </c>
      <c r="G241" s="4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 s="3">
        <v>737070.18</v>
      </c>
      <c r="N241" s="3">
        <v>117593.97</v>
      </c>
      <c r="O241">
        <f>IF(C241="North",1,0)</f>
        <v>0</v>
      </c>
      <c r="P241">
        <f>IF(C241="South",1,0)</f>
        <v>0</v>
      </c>
      <c r="Q241">
        <f>IF(C241="West",1,0)</f>
        <v>1</v>
      </c>
      <c r="R241">
        <f>IF(D241="Airport",1,0)</f>
        <v>0</v>
      </c>
      <c r="S241">
        <f>IF(D241="High Street",1,0)</f>
        <v>0</v>
      </c>
      <c r="T241">
        <f>IF(D241="Mall",1,0)</f>
        <v>1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 s="3">
        <v>69900.12</v>
      </c>
      <c r="F242">
        <v>8055</v>
      </c>
      <c r="G242" s="4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 s="3">
        <v>776992.93</v>
      </c>
      <c r="N242" s="3">
        <v>101598.32</v>
      </c>
      <c r="O242">
        <f>IF(C242="North",1,0)</f>
        <v>0</v>
      </c>
      <c r="P242">
        <f>IF(C242="South",1,0)</f>
        <v>1</v>
      </c>
      <c r="Q242">
        <f>IF(C242="West",1,0)</f>
        <v>0</v>
      </c>
      <c r="R242">
        <f>IF(D242="Airport",1,0)</f>
        <v>1</v>
      </c>
      <c r="S242">
        <f>IF(D242="High Street",1,0)</f>
        <v>0</v>
      </c>
      <c r="T242">
        <f>IF(D242="Mall",1,0)</f>
        <v>0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 s="3">
        <v>51781.599999999999</v>
      </c>
      <c r="F243">
        <v>5648</v>
      </c>
      <c r="G243" s="4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 s="3">
        <v>676337.41</v>
      </c>
      <c r="N243" s="3">
        <v>104355.77</v>
      </c>
      <c r="O243">
        <f>IF(C243="North",1,0)</f>
        <v>0</v>
      </c>
      <c r="P243">
        <f>IF(C243="South",1,0)</f>
        <v>1</v>
      </c>
      <c r="Q243">
        <f>IF(C243="West",1,0)</f>
        <v>0</v>
      </c>
      <c r="R243">
        <f>IF(D243="Airport",1,0)</f>
        <v>1</v>
      </c>
      <c r="S243">
        <f>IF(D243="High Street",1,0)</f>
        <v>0</v>
      </c>
      <c r="T243">
        <f>IF(D243="Mall",1,0)</f>
        <v>0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 s="3">
        <v>70799.64</v>
      </c>
      <c r="F244">
        <v>10076</v>
      </c>
      <c r="G244" s="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 s="3">
        <v>828219.67</v>
      </c>
      <c r="N244" s="3">
        <v>179806.87</v>
      </c>
      <c r="O244">
        <f>IF(C244="North",1,0)</f>
        <v>0</v>
      </c>
      <c r="P244">
        <f>IF(C244="South",1,0)</f>
        <v>1</v>
      </c>
      <c r="Q244">
        <f>IF(C244="West",1,0)</f>
        <v>0</v>
      </c>
      <c r="R244">
        <f>IF(D244="Airport",1,0)</f>
        <v>1</v>
      </c>
      <c r="S244">
        <f>IF(D244="High Street",1,0)</f>
        <v>0</v>
      </c>
      <c r="T244">
        <f>IF(D244="Mall",1,0)</f>
        <v>0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 s="3">
        <v>53546.34</v>
      </c>
      <c r="F245">
        <v>8004</v>
      </c>
      <c r="G245" s="4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 s="3">
        <v>763159.92</v>
      </c>
      <c r="N245" s="3">
        <v>177104.87</v>
      </c>
      <c r="O245">
        <f>IF(C245="North",1,0)</f>
        <v>0</v>
      </c>
      <c r="P245">
        <f>IF(C245="South",1,0)</f>
        <v>1</v>
      </c>
      <c r="Q245">
        <f>IF(C245="West",1,0)</f>
        <v>0</v>
      </c>
      <c r="R245">
        <f>IF(D245="Airport",1,0)</f>
        <v>1</v>
      </c>
      <c r="S245">
        <f>IF(D245="High Street",1,0)</f>
        <v>0</v>
      </c>
      <c r="T245">
        <f>IF(D245="Mall",1,0)</f>
        <v>0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 s="3">
        <v>76942.2</v>
      </c>
      <c r="F246">
        <v>8934</v>
      </c>
      <c r="G246" s="4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 s="3">
        <v>802001.68</v>
      </c>
      <c r="N246" s="3">
        <v>159715.82</v>
      </c>
      <c r="O246">
        <f>IF(C246="North",1,0)</f>
        <v>0</v>
      </c>
      <c r="P246">
        <f>IF(C246="South",1,0)</f>
        <v>0</v>
      </c>
      <c r="Q246">
        <f>IF(C246="West",1,0)</f>
        <v>0</v>
      </c>
      <c r="R246">
        <f>IF(D246="Airport",1,0)</f>
        <v>0</v>
      </c>
      <c r="S246">
        <f>IF(D246="High Street",1,0)</f>
        <v>1</v>
      </c>
      <c r="T246">
        <f>IF(D246="Mall",1,0)</f>
        <v>0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 s="3">
        <v>48060.78</v>
      </c>
      <c r="F247">
        <v>8733</v>
      </c>
      <c r="G247" s="4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 s="3">
        <v>750471.34</v>
      </c>
      <c r="N247" s="3">
        <v>133788.04</v>
      </c>
      <c r="O247">
        <f>IF(C247="North",1,0)</f>
        <v>0</v>
      </c>
      <c r="P247">
        <f>IF(C247="South",1,0)</f>
        <v>0</v>
      </c>
      <c r="Q247">
        <f>IF(C247="West",1,0)</f>
        <v>0</v>
      </c>
      <c r="R247">
        <f>IF(D247="Airport",1,0)</f>
        <v>0</v>
      </c>
      <c r="S247">
        <f>IF(D247="High Street",1,0)</f>
        <v>1</v>
      </c>
      <c r="T247">
        <f>IF(D247="Mall",1,0)</f>
        <v>0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 s="3">
        <v>57390.04</v>
      </c>
      <c r="F248">
        <v>7374</v>
      </c>
      <c r="G248" s="4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 s="3">
        <v>679230.86</v>
      </c>
      <c r="N248" s="3">
        <v>106927.58</v>
      </c>
      <c r="O248">
        <f>IF(C248="North",1,0)</f>
        <v>0</v>
      </c>
      <c r="P248">
        <f>IF(C248="South",1,0)</f>
        <v>0</v>
      </c>
      <c r="Q248">
        <f>IF(C248="West",1,0)</f>
        <v>0</v>
      </c>
      <c r="R248">
        <f>IF(D248="Airport",1,0)</f>
        <v>0</v>
      </c>
      <c r="S248">
        <f>IF(D248="High Street",1,0)</f>
        <v>1</v>
      </c>
      <c r="T248">
        <f>IF(D248="Mall",1,0)</f>
        <v>0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 s="3">
        <v>21536.18</v>
      </c>
      <c r="F249">
        <v>8119</v>
      </c>
      <c r="G249" s="4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 s="3">
        <v>679888.74</v>
      </c>
      <c r="N249" s="3">
        <v>83406.89</v>
      </c>
      <c r="O249">
        <f>IF(C249="North",1,0)</f>
        <v>0</v>
      </c>
      <c r="P249">
        <f>IF(C249="South",1,0)</f>
        <v>0</v>
      </c>
      <c r="Q249">
        <f>IF(C249="West",1,0)</f>
        <v>0</v>
      </c>
      <c r="R249">
        <f>IF(D249="Airport",1,0)</f>
        <v>0</v>
      </c>
      <c r="S249">
        <f>IF(D249="High Street",1,0)</f>
        <v>1</v>
      </c>
      <c r="T249">
        <f>IF(D249="Mall",1,0)</f>
        <v>0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 s="3">
        <v>40923.67</v>
      </c>
      <c r="F250">
        <v>3875</v>
      </c>
      <c r="G250" s="4">
        <v>0.15</v>
      </c>
      <c r="H250">
        <v>10</v>
      </c>
      <c r="I250">
        <v>96.1</v>
      </c>
      <c r="J250">
        <v>3.3650000000000002</v>
      </c>
      <c r="K250">
        <v>0</v>
      </c>
      <c r="L250">
        <v>3.8</v>
      </c>
      <c r="M250" s="3">
        <v>606783.67000000004</v>
      </c>
      <c r="N250" s="3">
        <v>74515.87</v>
      </c>
      <c r="O250">
        <f>IF(C250="North",1,0)</f>
        <v>1</v>
      </c>
      <c r="P250">
        <f>IF(C250="South",1,0)</f>
        <v>0</v>
      </c>
      <c r="Q250">
        <f>IF(C250="West",1,0)</f>
        <v>0</v>
      </c>
      <c r="R250">
        <f>IF(D250="Airport",1,0)</f>
        <v>0</v>
      </c>
      <c r="S250">
        <f>IF(D250="High Street",1,0)</f>
        <v>1</v>
      </c>
      <c r="T250">
        <f>IF(D250="Mall",1,0)</f>
        <v>0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 s="3">
        <v>72932.55</v>
      </c>
      <c r="F251">
        <v>5765</v>
      </c>
      <c r="G251" s="4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 s="3">
        <v>642751.42000000004</v>
      </c>
      <c r="N251" s="3">
        <v>131942.15</v>
      </c>
      <c r="O251">
        <f>IF(C251="North",1,0)</f>
        <v>1</v>
      </c>
      <c r="P251">
        <f>IF(C251="South",1,0)</f>
        <v>0</v>
      </c>
      <c r="Q251">
        <f>IF(C251="West",1,0)</f>
        <v>0</v>
      </c>
      <c r="R251">
        <f>IF(D251="Airport",1,0)</f>
        <v>0</v>
      </c>
      <c r="S251">
        <f>IF(D251="High Street",1,0)</f>
        <v>1</v>
      </c>
      <c r="T251">
        <f>IF(D251="Mall",1,0)</f>
        <v>0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 s="3">
        <v>38361.93</v>
      </c>
      <c r="F252">
        <v>6322</v>
      </c>
      <c r="G252" s="4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 s="3">
        <v>647953.78</v>
      </c>
      <c r="N252" s="3">
        <v>118497.43</v>
      </c>
      <c r="O252">
        <f>IF(C252="North",1,0)</f>
        <v>1</v>
      </c>
      <c r="P252">
        <f>IF(C252="South",1,0)</f>
        <v>0</v>
      </c>
      <c r="Q252">
        <f>IF(C252="West",1,0)</f>
        <v>0</v>
      </c>
      <c r="R252">
        <f>IF(D252="Airport",1,0)</f>
        <v>0</v>
      </c>
      <c r="S252">
        <f>IF(D252="High Street",1,0)</f>
        <v>1</v>
      </c>
      <c r="T252">
        <f>IF(D252="Mall",1,0)</f>
        <v>0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 s="3">
        <v>97480.94</v>
      </c>
      <c r="F253">
        <v>6840</v>
      </c>
      <c r="G253" s="4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 s="3">
        <v>729440.45</v>
      </c>
      <c r="N253" s="3">
        <v>87614.29</v>
      </c>
      <c r="O253">
        <f>IF(C253="North",1,0)</f>
        <v>1</v>
      </c>
      <c r="P253">
        <f>IF(C253="South",1,0)</f>
        <v>0</v>
      </c>
      <c r="Q253">
        <f>IF(C253="West",1,0)</f>
        <v>0</v>
      </c>
      <c r="R253">
        <f>IF(D253="Airport",1,0)</f>
        <v>0</v>
      </c>
      <c r="S253">
        <f>IF(D253="High Street",1,0)</f>
        <v>1</v>
      </c>
      <c r="T253">
        <f>IF(D253="Mall",1,0)</f>
        <v>0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 s="3">
        <v>81801.8</v>
      </c>
      <c r="F254">
        <v>6782</v>
      </c>
      <c r="G254" s="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 s="3">
        <v>764949</v>
      </c>
      <c r="N254" s="3">
        <v>148322.43</v>
      </c>
      <c r="O254">
        <f>IF(C254="North",1,0)</f>
        <v>0</v>
      </c>
      <c r="P254">
        <f>IF(C254="South",1,0)</f>
        <v>1</v>
      </c>
      <c r="Q254">
        <f>IF(C254="West",1,0)</f>
        <v>0</v>
      </c>
      <c r="R254">
        <f>IF(D254="Airport",1,0)</f>
        <v>1</v>
      </c>
      <c r="S254">
        <f>IF(D254="High Street",1,0)</f>
        <v>0</v>
      </c>
      <c r="T254">
        <f>IF(D254="Mall",1,0)</f>
        <v>0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 s="3">
        <v>63582.11</v>
      </c>
      <c r="F255">
        <v>6856</v>
      </c>
      <c r="G255" s="4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 s="3">
        <v>799046.94</v>
      </c>
      <c r="N255" s="3">
        <v>144553.64000000001</v>
      </c>
      <c r="O255">
        <f>IF(C255="North",1,0)</f>
        <v>0</v>
      </c>
      <c r="P255">
        <f>IF(C255="South",1,0)</f>
        <v>1</v>
      </c>
      <c r="Q255">
        <f>IF(C255="West",1,0)</f>
        <v>0</v>
      </c>
      <c r="R255">
        <f>IF(D255="Airport",1,0)</f>
        <v>1</v>
      </c>
      <c r="S255">
        <f>IF(D255="High Street",1,0)</f>
        <v>0</v>
      </c>
      <c r="T255">
        <f>IF(D255="Mall",1,0)</f>
        <v>0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 s="3">
        <v>75412.740000000005</v>
      </c>
      <c r="F256">
        <v>5641</v>
      </c>
      <c r="G256" s="4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 s="3">
        <v>720079.54</v>
      </c>
      <c r="N256" s="3">
        <v>119499.47</v>
      </c>
      <c r="O256">
        <f>IF(C256="North",1,0)</f>
        <v>0</v>
      </c>
      <c r="P256">
        <f>IF(C256="South",1,0)</f>
        <v>1</v>
      </c>
      <c r="Q256">
        <f>IF(C256="West",1,0)</f>
        <v>0</v>
      </c>
      <c r="R256">
        <f>IF(D256="Airport",1,0)</f>
        <v>1</v>
      </c>
      <c r="S256">
        <f>IF(D256="High Street",1,0)</f>
        <v>0</v>
      </c>
      <c r="T256">
        <f>IF(D256="Mall",1,0)</f>
        <v>0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 s="3">
        <v>36290.080000000002</v>
      </c>
      <c r="F257">
        <v>5787</v>
      </c>
      <c r="G257" s="4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 s="3">
        <v>612390.14</v>
      </c>
      <c r="N257" s="3">
        <v>108985.74</v>
      </c>
      <c r="O257">
        <f>IF(C257="North",1,0)</f>
        <v>0</v>
      </c>
      <c r="P257">
        <f>IF(C257="South",1,0)</f>
        <v>1</v>
      </c>
      <c r="Q257">
        <f>IF(C257="West",1,0)</f>
        <v>0</v>
      </c>
      <c r="R257">
        <f>IF(D257="Airport",1,0)</f>
        <v>1</v>
      </c>
      <c r="S257">
        <f>IF(D257="High Street",1,0)</f>
        <v>0</v>
      </c>
      <c r="T257">
        <f>IF(D257="Mall",1,0)</f>
        <v>0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 s="3">
        <v>65272.58</v>
      </c>
      <c r="F258">
        <v>8165</v>
      </c>
      <c r="G258" s="4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 s="3">
        <v>840108.12</v>
      </c>
      <c r="N258" s="3">
        <v>126587.01</v>
      </c>
      <c r="O258">
        <f>IF(C258="North",1,0)</f>
        <v>0</v>
      </c>
      <c r="P258">
        <f>IF(C258="South",1,0)</f>
        <v>1</v>
      </c>
      <c r="Q258">
        <f>IF(C258="West",1,0)</f>
        <v>0</v>
      </c>
      <c r="R258">
        <f>IF(D258="Airport",1,0)</f>
        <v>0</v>
      </c>
      <c r="S258">
        <f>IF(D258="High Street",1,0)</f>
        <v>0</v>
      </c>
      <c r="T258">
        <f>IF(D258="Mall",1,0)</f>
        <v>1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 s="3">
        <v>28670.43</v>
      </c>
      <c r="F259">
        <v>7574</v>
      </c>
      <c r="G259" s="4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 s="3">
        <v>697888.09</v>
      </c>
      <c r="N259" s="3">
        <v>116249.87</v>
      </c>
      <c r="O259">
        <f>IF(C259="North",1,0)</f>
        <v>0</v>
      </c>
      <c r="P259">
        <f>IF(C259="South",1,0)</f>
        <v>1</v>
      </c>
      <c r="Q259">
        <f>IF(C259="West",1,0)</f>
        <v>0</v>
      </c>
      <c r="R259">
        <f>IF(D259="Airport",1,0)</f>
        <v>0</v>
      </c>
      <c r="S259">
        <f>IF(D259="High Street",1,0)</f>
        <v>0</v>
      </c>
      <c r="T259">
        <f>IF(D259="Mall",1,0)</f>
        <v>1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 s="3">
        <v>44189.34</v>
      </c>
      <c r="F260">
        <v>8634</v>
      </c>
      <c r="G260" s="4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 s="3">
        <v>746115.59</v>
      </c>
      <c r="N260" s="3">
        <v>94662.96</v>
      </c>
      <c r="O260">
        <f>IF(C260="North",1,0)</f>
        <v>0</v>
      </c>
      <c r="P260">
        <f>IF(C260="South",1,0)</f>
        <v>1</v>
      </c>
      <c r="Q260">
        <f>IF(C260="West",1,0)</f>
        <v>0</v>
      </c>
      <c r="R260">
        <f>IF(D260="Airport",1,0)</f>
        <v>0</v>
      </c>
      <c r="S260">
        <f>IF(D260="High Street",1,0)</f>
        <v>0</v>
      </c>
      <c r="T260">
        <f>IF(D260="Mall",1,0)</f>
        <v>1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 s="3">
        <v>38397.82</v>
      </c>
      <c r="F261">
        <v>7836</v>
      </c>
      <c r="G261" s="4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 s="3">
        <v>776110.32</v>
      </c>
      <c r="N261" s="3">
        <v>139676.21</v>
      </c>
      <c r="O261">
        <f>IF(C261="North",1,0)</f>
        <v>0</v>
      </c>
      <c r="P261">
        <f>IF(C261="South",1,0)</f>
        <v>1</v>
      </c>
      <c r="Q261">
        <f>IF(C261="West",1,0)</f>
        <v>0</v>
      </c>
      <c r="R261">
        <f>IF(D261="Airport",1,0)</f>
        <v>0</v>
      </c>
      <c r="S261">
        <f>IF(D261="High Street",1,0)</f>
        <v>0</v>
      </c>
      <c r="T261">
        <f>IF(D261="Mall",1,0)</f>
        <v>1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 s="3">
        <v>14519.37</v>
      </c>
      <c r="F262">
        <v>3047</v>
      </c>
      <c r="G262" s="4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 s="3">
        <v>528852.62</v>
      </c>
      <c r="N262" s="3">
        <v>68426.210000000006</v>
      </c>
      <c r="O262">
        <f>IF(C262="North",1,0)</f>
        <v>0</v>
      </c>
      <c r="P262">
        <f>IF(C262="South",1,0)</f>
        <v>0</v>
      </c>
      <c r="Q262">
        <f>IF(C262="West",1,0)</f>
        <v>1</v>
      </c>
      <c r="R262">
        <f>IF(D262="Airport",1,0)</f>
        <v>0</v>
      </c>
      <c r="S262">
        <f>IF(D262="High Street",1,0)</f>
        <v>1</v>
      </c>
      <c r="T262">
        <f>IF(D262="Mall",1,0)</f>
        <v>0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 s="3">
        <v>43288.2</v>
      </c>
      <c r="F263">
        <v>4783</v>
      </c>
      <c r="G263" s="4">
        <v>0.16900000000000001</v>
      </c>
      <c r="H263">
        <v>13</v>
      </c>
      <c r="I263">
        <v>87.3</v>
      </c>
      <c r="J263">
        <v>3.3650000000000002</v>
      </c>
      <c r="K263">
        <v>0</v>
      </c>
      <c r="L263">
        <v>4.2</v>
      </c>
      <c r="M263" s="3">
        <v>605751.32999999996</v>
      </c>
      <c r="N263" s="3">
        <v>60685.53</v>
      </c>
      <c r="O263">
        <f>IF(C263="North",1,0)</f>
        <v>0</v>
      </c>
      <c r="P263">
        <f>IF(C263="South",1,0)</f>
        <v>0</v>
      </c>
      <c r="Q263">
        <f>IF(C263="West",1,0)</f>
        <v>1</v>
      </c>
      <c r="R263">
        <f>IF(D263="Airport",1,0)</f>
        <v>0</v>
      </c>
      <c r="S263">
        <f>IF(D263="High Street",1,0)</f>
        <v>1</v>
      </c>
      <c r="T263">
        <f>IF(D263="Mall",1,0)</f>
        <v>0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 s="3">
        <v>51450.55</v>
      </c>
      <c r="F264">
        <v>4902</v>
      </c>
      <c r="G264" s="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 s="3">
        <v>677640.65</v>
      </c>
      <c r="N264" s="3">
        <v>111610.89</v>
      </c>
      <c r="O264">
        <f>IF(C264="North",1,0)</f>
        <v>0</v>
      </c>
      <c r="P264">
        <f>IF(C264="South",1,0)</f>
        <v>0</v>
      </c>
      <c r="Q264">
        <f>IF(C264="West",1,0)</f>
        <v>1</v>
      </c>
      <c r="R264">
        <f>IF(D264="Airport",1,0)</f>
        <v>0</v>
      </c>
      <c r="S264">
        <f>IF(D264="High Street",1,0)</f>
        <v>1</v>
      </c>
      <c r="T264">
        <f>IF(D264="Mall",1,0)</f>
        <v>0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 s="3">
        <v>58688.26</v>
      </c>
      <c r="F265">
        <v>4022</v>
      </c>
      <c r="G265" s="4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 s="3">
        <v>636613.23</v>
      </c>
      <c r="N265" s="3">
        <v>78908.350000000006</v>
      </c>
      <c r="O265">
        <f>IF(C265="North",1,0)</f>
        <v>0</v>
      </c>
      <c r="P265">
        <f>IF(C265="South",1,0)</f>
        <v>0</v>
      </c>
      <c r="Q265">
        <f>IF(C265="West",1,0)</f>
        <v>1</v>
      </c>
      <c r="R265">
        <f>IF(D265="Airport",1,0)</f>
        <v>0</v>
      </c>
      <c r="S265">
        <f>IF(D265="High Street",1,0)</f>
        <v>1</v>
      </c>
      <c r="T265">
        <f>IF(D265="Mall",1,0)</f>
        <v>0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 s="3">
        <v>58981.91</v>
      </c>
      <c r="F266">
        <v>7324</v>
      </c>
      <c r="G266" s="4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 s="3">
        <v>708985.19</v>
      </c>
      <c r="N266" s="3">
        <v>125368.16</v>
      </c>
      <c r="O266">
        <f>IF(C266="North",1,0)</f>
        <v>0</v>
      </c>
      <c r="P266">
        <f>IF(C266="South",1,0)</f>
        <v>0</v>
      </c>
      <c r="Q266">
        <f>IF(C266="West",1,0)</f>
        <v>0</v>
      </c>
      <c r="R266">
        <f>IF(D266="Airport",1,0)</f>
        <v>0</v>
      </c>
      <c r="S266">
        <f>IF(D266="High Street",1,0)</f>
        <v>1</v>
      </c>
      <c r="T266">
        <f>IF(D266="Mall",1,0)</f>
        <v>0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 s="3">
        <v>73454.539999999994</v>
      </c>
      <c r="F267">
        <v>8129</v>
      </c>
      <c r="G267" s="4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 s="3">
        <v>767792.94</v>
      </c>
      <c r="N267" s="3">
        <v>96235.77</v>
      </c>
      <c r="O267">
        <f>IF(C267="North",1,0)</f>
        <v>0</v>
      </c>
      <c r="P267">
        <f>IF(C267="South",1,0)</f>
        <v>0</v>
      </c>
      <c r="Q267">
        <f>IF(C267="West",1,0)</f>
        <v>0</v>
      </c>
      <c r="R267">
        <f>IF(D267="Airport",1,0)</f>
        <v>0</v>
      </c>
      <c r="S267">
        <f>IF(D267="High Street",1,0)</f>
        <v>1</v>
      </c>
      <c r="T267">
        <f>IF(D267="Mall",1,0)</f>
        <v>0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 s="3">
        <v>56602.39</v>
      </c>
      <c r="F268">
        <v>7969</v>
      </c>
      <c r="G268" s="4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 s="3">
        <v>745580.51</v>
      </c>
      <c r="N268" s="3">
        <v>116273.68</v>
      </c>
      <c r="O268">
        <f>IF(C268="North",1,0)</f>
        <v>0</v>
      </c>
      <c r="P268">
        <f>IF(C268="South",1,0)</f>
        <v>0</v>
      </c>
      <c r="Q268">
        <f>IF(C268="West",1,0)</f>
        <v>0</v>
      </c>
      <c r="R268">
        <f>IF(D268="Airport",1,0)</f>
        <v>0</v>
      </c>
      <c r="S268">
        <f>IF(D268="High Street",1,0)</f>
        <v>1</v>
      </c>
      <c r="T268">
        <f>IF(D268="Mall",1,0)</f>
        <v>0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 s="3">
        <v>67722.289999999994</v>
      </c>
      <c r="F269">
        <v>7240</v>
      </c>
      <c r="G269" s="4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 s="3">
        <v>762328.31</v>
      </c>
      <c r="N269" s="3">
        <v>159158.19</v>
      </c>
      <c r="O269">
        <f>IF(C269="North",1,0)</f>
        <v>0</v>
      </c>
      <c r="P269">
        <f>IF(C269="South",1,0)</f>
        <v>0</v>
      </c>
      <c r="Q269">
        <f>IF(C269="West",1,0)</f>
        <v>0</v>
      </c>
      <c r="R269">
        <f>IF(D269="Airport",1,0)</f>
        <v>0</v>
      </c>
      <c r="S269">
        <f>IF(D269="High Street",1,0)</f>
        <v>1</v>
      </c>
      <c r="T269">
        <f>IF(D269="Mall",1,0)</f>
        <v>0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 s="3">
        <v>48752.92</v>
      </c>
      <c r="F270">
        <v>8052</v>
      </c>
      <c r="G270" s="4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 s="3">
        <v>660633.99</v>
      </c>
      <c r="N270" s="3">
        <v>118768.66</v>
      </c>
      <c r="O270">
        <f>IF(C270="North",1,0)</f>
        <v>0</v>
      </c>
      <c r="P270">
        <f>IF(C270="South",1,0)</f>
        <v>0</v>
      </c>
      <c r="Q270">
        <f>IF(C270="West",1,0)</f>
        <v>0</v>
      </c>
      <c r="R270">
        <f>IF(D270="Airport",1,0)</f>
        <v>0</v>
      </c>
      <c r="S270">
        <f>IF(D270="High Street",1,0)</f>
        <v>0</v>
      </c>
      <c r="T270">
        <f>IF(D270="Mall",1,0)</f>
        <v>1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 s="3">
        <v>23914.97</v>
      </c>
      <c r="F271">
        <v>8018</v>
      </c>
      <c r="G271" s="4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 s="3">
        <v>739374.56</v>
      </c>
      <c r="N271" s="3">
        <v>121032.29</v>
      </c>
      <c r="O271">
        <f>IF(C271="North",1,0)</f>
        <v>0</v>
      </c>
      <c r="P271">
        <f>IF(C271="South",1,0)</f>
        <v>0</v>
      </c>
      <c r="Q271">
        <f>IF(C271="West",1,0)</f>
        <v>0</v>
      </c>
      <c r="R271">
        <f>IF(D271="Airport",1,0)</f>
        <v>0</v>
      </c>
      <c r="S271">
        <f>IF(D271="High Street",1,0)</f>
        <v>0</v>
      </c>
      <c r="T271">
        <f>IF(D271="Mall",1,0)</f>
        <v>1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 s="3">
        <v>61995.3</v>
      </c>
      <c r="F272">
        <v>10192</v>
      </c>
      <c r="G272" s="4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 s="3">
        <v>799756.46</v>
      </c>
      <c r="N272" s="3">
        <v>105052.93</v>
      </c>
      <c r="O272">
        <f>IF(C272="North",1,0)</f>
        <v>0</v>
      </c>
      <c r="P272">
        <f>IF(C272="South",1,0)</f>
        <v>0</v>
      </c>
      <c r="Q272">
        <f>IF(C272="West",1,0)</f>
        <v>0</v>
      </c>
      <c r="R272">
        <f>IF(D272="Airport",1,0)</f>
        <v>0</v>
      </c>
      <c r="S272">
        <f>IF(D272="High Street",1,0)</f>
        <v>0</v>
      </c>
      <c r="T272">
        <f>IF(D272="Mall",1,0)</f>
        <v>1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 s="3">
        <v>29344.93</v>
      </c>
      <c r="F273">
        <v>7446</v>
      </c>
      <c r="G273" s="4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 s="3">
        <v>593343</v>
      </c>
      <c r="N273" s="3">
        <v>82832.240000000005</v>
      </c>
      <c r="O273">
        <f>IF(C273="North",1,0)</f>
        <v>0</v>
      </c>
      <c r="P273">
        <f>IF(C273="South",1,0)</f>
        <v>0</v>
      </c>
      <c r="Q273">
        <f>IF(C273="West",1,0)</f>
        <v>0</v>
      </c>
      <c r="R273">
        <f>IF(D273="Airport",1,0)</f>
        <v>0</v>
      </c>
      <c r="S273">
        <f>IF(D273="High Street",1,0)</f>
        <v>0</v>
      </c>
      <c r="T273">
        <f>IF(D273="Mall",1,0)</f>
        <v>1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 s="3">
        <v>50532.17</v>
      </c>
      <c r="F274">
        <v>5689</v>
      </c>
      <c r="G274" s="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 s="3">
        <v>645039.97</v>
      </c>
      <c r="N274" s="3">
        <v>83093.33</v>
      </c>
      <c r="O274">
        <f>IF(C274="North",1,0)</f>
        <v>0</v>
      </c>
      <c r="P274">
        <f>IF(C274="South",1,0)</f>
        <v>0</v>
      </c>
      <c r="Q274">
        <f>IF(C274="West",1,0)</f>
        <v>1</v>
      </c>
      <c r="R274">
        <f>IF(D274="Airport",1,0)</f>
        <v>0</v>
      </c>
      <c r="S274">
        <f>IF(D274="High Street",1,0)</f>
        <v>1</v>
      </c>
      <c r="T274">
        <f>IF(D274="Mall",1,0)</f>
        <v>0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 s="3">
        <v>17562.57</v>
      </c>
      <c r="F275">
        <v>3326</v>
      </c>
      <c r="G275" s="4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 s="3">
        <v>561597.32999999996</v>
      </c>
      <c r="N275" s="3">
        <v>75072.75</v>
      </c>
      <c r="O275">
        <f>IF(C275="North",1,0)</f>
        <v>0</v>
      </c>
      <c r="P275">
        <f>IF(C275="South",1,0)</f>
        <v>0</v>
      </c>
      <c r="Q275">
        <f>IF(C275="West",1,0)</f>
        <v>1</v>
      </c>
      <c r="R275">
        <f>IF(D275="Airport",1,0)</f>
        <v>0</v>
      </c>
      <c r="S275">
        <f>IF(D275="High Street",1,0)</f>
        <v>1</v>
      </c>
      <c r="T275">
        <f>IF(D275="Mall",1,0)</f>
        <v>0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 s="3">
        <v>47648.71</v>
      </c>
      <c r="F276">
        <v>5767</v>
      </c>
      <c r="G276" s="4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 s="3">
        <v>635837.74</v>
      </c>
      <c r="N276" s="3">
        <v>114740.64</v>
      </c>
      <c r="O276">
        <f>IF(C276="North",1,0)</f>
        <v>0</v>
      </c>
      <c r="P276">
        <f>IF(C276="South",1,0)</f>
        <v>0</v>
      </c>
      <c r="Q276">
        <f>IF(C276="West",1,0)</f>
        <v>1</v>
      </c>
      <c r="R276">
        <f>IF(D276="Airport",1,0)</f>
        <v>0</v>
      </c>
      <c r="S276">
        <f>IF(D276="High Street",1,0)</f>
        <v>1</v>
      </c>
      <c r="T276">
        <f>IF(D276="Mall",1,0)</f>
        <v>0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 s="3">
        <v>38297.58</v>
      </c>
      <c r="F277">
        <v>5893</v>
      </c>
      <c r="G277" s="4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 s="3">
        <v>686737.87</v>
      </c>
      <c r="N277" s="3">
        <v>83839.67</v>
      </c>
      <c r="O277">
        <f>IF(C277="North",1,0)</f>
        <v>0</v>
      </c>
      <c r="P277">
        <f>IF(C277="South",1,0)</f>
        <v>0</v>
      </c>
      <c r="Q277">
        <f>IF(C277="West",1,0)</f>
        <v>1</v>
      </c>
      <c r="R277">
        <f>IF(D277="Airport",1,0)</f>
        <v>0</v>
      </c>
      <c r="S277">
        <f>IF(D277="High Street",1,0)</f>
        <v>1</v>
      </c>
      <c r="T277">
        <f>IF(D277="Mall",1,0)</f>
        <v>0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 s="3">
        <v>61784.11</v>
      </c>
      <c r="F278">
        <v>8564</v>
      </c>
      <c r="G278" s="4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 s="3">
        <v>673076.34</v>
      </c>
      <c r="N278" s="3">
        <v>93899.76</v>
      </c>
      <c r="O278">
        <f>IF(C278="North",1,0)</f>
        <v>0</v>
      </c>
      <c r="P278">
        <f>IF(C278="South",1,0)</f>
        <v>1</v>
      </c>
      <c r="Q278">
        <f>IF(C278="West",1,0)</f>
        <v>0</v>
      </c>
      <c r="R278">
        <f>IF(D278="Airport",1,0)</f>
        <v>0</v>
      </c>
      <c r="S278">
        <f>IF(D278="High Street",1,0)</f>
        <v>0</v>
      </c>
      <c r="T278">
        <f>IF(D278="Mall",1,0)</f>
        <v>0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 s="3">
        <v>36832.33</v>
      </c>
      <c r="F279">
        <v>8001</v>
      </c>
      <c r="G279" s="4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 s="3">
        <v>738548.42</v>
      </c>
      <c r="N279" s="3">
        <v>134282.76999999999</v>
      </c>
      <c r="O279">
        <f>IF(C279="North",1,0)</f>
        <v>0</v>
      </c>
      <c r="P279">
        <f>IF(C279="South",1,0)</f>
        <v>1</v>
      </c>
      <c r="Q279">
        <f>IF(C279="West",1,0)</f>
        <v>0</v>
      </c>
      <c r="R279">
        <f>IF(D279="Airport",1,0)</f>
        <v>0</v>
      </c>
      <c r="S279">
        <f>IF(D279="High Street",1,0)</f>
        <v>0</v>
      </c>
      <c r="T279">
        <f>IF(D279="Mall",1,0)</f>
        <v>0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 s="3">
        <v>48609.41</v>
      </c>
      <c r="F280">
        <v>9324</v>
      </c>
      <c r="G280" s="4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 s="3">
        <v>756619.77</v>
      </c>
      <c r="N280" s="3">
        <v>112057.69</v>
      </c>
      <c r="O280">
        <f>IF(C280="North",1,0)</f>
        <v>0</v>
      </c>
      <c r="P280">
        <f>IF(C280="South",1,0)</f>
        <v>1</v>
      </c>
      <c r="Q280">
        <f>IF(C280="West",1,0)</f>
        <v>0</v>
      </c>
      <c r="R280">
        <f>IF(D280="Airport",1,0)</f>
        <v>0</v>
      </c>
      <c r="S280">
        <f>IF(D280="High Street",1,0)</f>
        <v>0</v>
      </c>
      <c r="T280">
        <f>IF(D280="Mall",1,0)</f>
        <v>0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 s="3">
        <v>70284.06</v>
      </c>
      <c r="F281">
        <v>9109</v>
      </c>
      <c r="G281" s="4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 s="3">
        <v>761122.42</v>
      </c>
      <c r="N281" s="3">
        <v>149802.04</v>
      </c>
      <c r="O281">
        <f>IF(C281="North",1,0)</f>
        <v>0</v>
      </c>
      <c r="P281">
        <f>IF(C281="South",1,0)</f>
        <v>1</v>
      </c>
      <c r="Q281">
        <f>IF(C281="West",1,0)</f>
        <v>0</v>
      </c>
      <c r="R281">
        <f>IF(D281="Airport",1,0)</f>
        <v>0</v>
      </c>
      <c r="S281">
        <f>IF(D281="High Street",1,0)</f>
        <v>0</v>
      </c>
      <c r="T281">
        <f>IF(D281="Mall",1,0)</f>
        <v>0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 s="3">
        <v>45940.39</v>
      </c>
      <c r="F282">
        <v>4022</v>
      </c>
      <c r="G282" s="4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 s="3">
        <v>524899.56999999995</v>
      </c>
      <c r="N282" s="3">
        <v>63619.98</v>
      </c>
      <c r="O282">
        <f>IF(C282="North",1,0)</f>
        <v>0</v>
      </c>
      <c r="P282">
        <f>IF(C282="South",1,0)</f>
        <v>1</v>
      </c>
      <c r="Q282">
        <f>IF(C282="West",1,0)</f>
        <v>0</v>
      </c>
      <c r="R282">
        <f>IF(D282="Airport",1,0)</f>
        <v>0</v>
      </c>
      <c r="S282">
        <f>IF(D282="High Street",1,0)</f>
        <v>1</v>
      </c>
      <c r="T282">
        <f>IF(D282="Mall",1,0)</f>
        <v>0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 s="3">
        <v>34771.26</v>
      </c>
      <c r="F283">
        <v>4355</v>
      </c>
      <c r="G283" s="4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 s="3">
        <v>555557.77</v>
      </c>
      <c r="N283" s="3">
        <v>86475.51</v>
      </c>
      <c r="O283">
        <f>IF(C283="North",1,0)</f>
        <v>0</v>
      </c>
      <c r="P283">
        <f>IF(C283="South",1,0)</f>
        <v>1</v>
      </c>
      <c r="Q283">
        <f>IF(C283="West",1,0)</f>
        <v>0</v>
      </c>
      <c r="R283">
        <f>IF(D283="Airport",1,0)</f>
        <v>0</v>
      </c>
      <c r="S283">
        <f>IF(D283="High Street",1,0)</f>
        <v>1</v>
      </c>
      <c r="T283">
        <f>IF(D283="Mall",1,0)</f>
        <v>0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 s="3">
        <v>66104.19</v>
      </c>
      <c r="F284">
        <v>5745</v>
      </c>
      <c r="G284" s="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 s="3">
        <v>714083.68</v>
      </c>
      <c r="N284" s="3">
        <v>127231.74</v>
      </c>
      <c r="O284">
        <f>IF(C284="North",1,0)</f>
        <v>0</v>
      </c>
      <c r="P284">
        <f>IF(C284="South",1,0)</f>
        <v>1</v>
      </c>
      <c r="Q284">
        <f>IF(C284="West",1,0)</f>
        <v>0</v>
      </c>
      <c r="R284">
        <f>IF(D284="Airport",1,0)</f>
        <v>0</v>
      </c>
      <c r="S284">
        <f>IF(D284="High Street",1,0)</f>
        <v>1</v>
      </c>
      <c r="T284">
        <f>IF(D284="Mall",1,0)</f>
        <v>0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 s="3">
        <v>18599.21</v>
      </c>
      <c r="F285">
        <v>3027</v>
      </c>
      <c r="G285" s="4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 s="3">
        <v>497439.82</v>
      </c>
      <c r="N285" s="3">
        <v>93372.75</v>
      </c>
      <c r="O285">
        <f>IF(C285="North",1,0)</f>
        <v>0</v>
      </c>
      <c r="P285">
        <f>IF(C285="South",1,0)</f>
        <v>1</v>
      </c>
      <c r="Q285">
        <f>IF(C285="West",1,0)</f>
        <v>0</v>
      </c>
      <c r="R285">
        <f>IF(D285="Airport",1,0)</f>
        <v>0</v>
      </c>
      <c r="S285">
        <f>IF(D285="High Street",1,0)</f>
        <v>1</v>
      </c>
      <c r="T285">
        <f>IF(D285="Mall",1,0)</f>
        <v>0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 s="3">
        <v>60183.06</v>
      </c>
      <c r="F286">
        <v>5562</v>
      </c>
      <c r="G286" s="4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 s="3">
        <v>636775.66</v>
      </c>
      <c r="N286" s="3">
        <v>122636.86</v>
      </c>
      <c r="O286">
        <f>IF(C286="North",1,0)</f>
        <v>0</v>
      </c>
      <c r="P286">
        <f>IF(C286="South",1,0)</f>
        <v>0</v>
      </c>
      <c r="Q286">
        <f>IF(C286="West",1,0)</f>
        <v>1</v>
      </c>
      <c r="R286">
        <f>IF(D286="Airport",1,0)</f>
        <v>0</v>
      </c>
      <c r="S286">
        <f>IF(D286="High Street",1,0)</f>
        <v>0</v>
      </c>
      <c r="T286">
        <f>IF(D286="Mall",1,0)</f>
        <v>0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 s="3">
        <v>74539.14</v>
      </c>
      <c r="F287">
        <v>4487</v>
      </c>
      <c r="G287" s="4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 s="3">
        <v>633009.53</v>
      </c>
      <c r="N287" s="3">
        <v>123782.67</v>
      </c>
      <c r="O287">
        <f>IF(C287="North",1,0)</f>
        <v>0</v>
      </c>
      <c r="P287">
        <f>IF(C287="South",1,0)</f>
        <v>0</v>
      </c>
      <c r="Q287">
        <f>IF(C287="West",1,0)</f>
        <v>1</v>
      </c>
      <c r="R287">
        <f>IF(D287="Airport",1,0)</f>
        <v>0</v>
      </c>
      <c r="S287">
        <f>IF(D287="High Street",1,0)</f>
        <v>0</v>
      </c>
      <c r="T287">
        <f>IF(D287="Mall",1,0)</f>
        <v>0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 s="3">
        <v>55371.97</v>
      </c>
      <c r="F288">
        <v>4162</v>
      </c>
      <c r="G288" s="4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 s="3">
        <v>609949</v>
      </c>
      <c r="N288" s="3">
        <v>126789.25</v>
      </c>
      <c r="O288">
        <f>IF(C288="North",1,0)</f>
        <v>0</v>
      </c>
      <c r="P288">
        <f>IF(C288="South",1,0)</f>
        <v>0</v>
      </c>
      <c r="Q288">
        <f>IF(C288="West",1,0)</f>
        <v>1</v>
      </c>
      <c r="R288">
        <f>IF(D288="Airport",1,0)</f>
        <v>0</v>
      </c>
      <c r="S288">
        <f>IF(D288="High Street",1,0)</f>
        <v>0</v>
      </c>
      <c r="T288">
        <f>IF(D288="Mall",1,0)</f>
        <v>0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 s="3">
        <v>40928.69</v>
      </c>
      <c r="F289">
        <v>4094</v>
      </c>
      <c r="G289" s="4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 s="3">
        <v>548103.69999999995</v>
      </c>
      <c r="N289" s="3">
        <v>99905.52</v>
      </c>
      <c r="O289">
        <f>IF(C289="North",1,0)</f>
        <v>0</v>
      </c>
      <c r="P289">
        <f>IF(C289="South",1,0)</f>
        <v>0</v>
      </c>
      <c r="Q289">
        <f>IF(C289="West",1,0)</f>
        <v>1</v>
      </c>
      <c r="R289">
        <f>IF(D289="Airport",1,0)</f>
        <v>0</v>
      </c>
      <c r="S289">
        <f>IF(D289="High Street",1,0)</f>
        <v>0</v>
      </c>
      <c r="T289">
        <f>IF(D289="Mall",1,0)</f>
        <v>0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 s="3">
        <v>70012.41</v>
      </c>
      <c r="F290">
        <v>8484</v>
      </c>
      <c r="G290" s="4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 s="3">
        <v>729424.42</v>
      </c>
      <c r="N290" s="3">
        <v>75592.28</v>
      </c>
      <c r="O290">
        <f>IF(C290="North",1,0)</f>
        <v>0</v>
      </c>
      <c r="P290">
        <f>IF(C290="South",1,0)</f>
        <v>0</v>
      </c>
      <c r="Q290">
        <f>IF(C290="West",1,0)</f>
        <v>0</v>
      </c>
      <c r="R290">
        <f>IF(D290="Airport",1,0)</f>
        <v>0</v>
      </c>
      <c r="S290">
        <f>IF(D290="High Street",1,0)</f>
        <v>0</v>
      </c>
      <c r="T290">
        <f>IF(D290="Mall",1,0)</f>
        <v>0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 s="3">
        <v>68909.259999999995</v>
      </c>
      <c r="F291">
        <v>7794</v>
      </c>
      <c r="G291" s="4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 s="3">
        <v>696261.49</v>
      </c>
      <c r="N291" s="3">
        <v>72455.350000000006</v>
      </c>
      <c r="O291">
        <f>IF(C291="North",1,0)</f>
        <v>0</v>
      </c>
      <c r="P291">
        <f>IF(C291="South",1,0)</f>
        <v>0</v>
      </c>
      <c r="Q291">
        <f>IF(C291="West",1,0)</f>
        <v>0</v>
      </c>
      <c r="R291">
        <f>IF(D291="Airport",1,0)</f>
        <v>0</v>
      </c>
      <c r="S291">
        <f>IF(D291="High Street",1,0)</f>
        <v>0</v>
      </c>
      <c r="T291">
        <f>IF(D291="Mall",1,0)</f>
        <v>0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 s="3">
        <v>56737.3</v>
      </c>
      <c r="F292">
        <v>8300</v>
      </c>
      <c r="G292" s="4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 s="3">
        <v>813316.71</v>
      </c>
      <c r="N292" s="3">
        <v>110077.42</v>
      </c>
      <c r="O292">
        <f>IF(C292="North",1,0)</f>
        <v>0</v>
      </c>
      <c r="P292">
        <f>IF(C292="South",1,0)</f>
        <v>0</v>
      </c>
      <c r="Q292">
        <f>IF(C292="West",1,0)</f>
        <v>0</v>
      </c>
      <c r="R292">
        <f>IF(D292="Airport",1,0)</f>
        <v>0</v>
      </c>
      <c r="S292">
        <f>IF(D292="High Street",1,0)</f>
        <v>0</v>
      </c>
      <c r="T292">
        <f>IF(D292="Mall",1,0)</f>
        <v>0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 s="3">
        <v>54080.91</v>
      </c>
      <c r="F293">
        <v>7083</v>
      </c>
      <c r="G293" s="4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 s="3">
        <v>702068.92</v>
      </c>
      <c r="N293" s="3">
        <v>111266.63</v>
      </c>
      <c r="O293">
        <f>IF(C293="North",1,0)</f>
        <v>0</v>
      </c>
      <c r="P293">
        <f>IF(C293="South",1,0)</f>
        <v>0</v>
      </c>
      <c r="Q293">
        <f>IF(C293="West",1,0)</f>
        <v>0</v>
      </c>
      <c r="R293">
        <f>IF(D293="Airport",1,0)</f>
        <v>0</v>
      </c>
      <c r="S293">
        <f>IF(D293="High Street",1,0)</f>
        <v>0</v>
      </c>
      <c r="T293">
        <f>IF(D293="Mall",1,0)</f>
        <v>0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 s="3">
        <v>51996.32</v>
      </c>
      <c r="F294">
        <v>3834</v>
      </c>
      <c r="G294" s="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 s="3">
        <v>546223.69999999995</v>
      </c>
      <c r="N294" s="3">
        <v>100769.17</v>
      </c>
      <c r="O294">
        <f>IF(C294="North",1,0)</f>
        <v>0</v>
      </c>
      <c r="P294">
        <f>IF(C294="South",1,0)</f>
        <v>0</v>
      </c>
      <c r="Q294">
        <f>IF(C294="West",1,0)</f>
        <v>1</v>
      </c>
      <c r="R294">
        <f>IF(D294="Airport",1,0)</f>
        <v>0</v>
      </c>
      <c r="S294">
        <f>IF(D294="High Street",1,0)</f>
        <v>1</v>
      </c>
      <c r="T294">
        <f>IF(D294="Mall",1,0)</f>
        <v>0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 s="3">
        <v>40102.879999999997</v>
      </c>
      <c r="F295">
        <v>2358</v>
      </c>
      <c r="G295" s="4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 s="3">
        <v>533121.26</v>
      </c>
      <c r="N295" s="3">
        <v>55063.39</v>
      </c>
      <c r="O295">
        <f>IF(C295="North",1,0)</f>
        <v>0</v>
      </c>
      <c r="P295">
        <f>IF(C295="South",1,0)</f>
        <v>0</v>
      </c>
      <c r="Q295">
        <f>IF(C295="West",1,0)</f>
        <v>1</v>
      </c>
      <c r="R295">
        <f>IF(D295="Airport",1,0)</f>
        <v>0</v>
      </c>
      <c r="S295">
        <f>IF(D295="High Street",1,0)</f>
        <v>1</v>
      </c>
      <c r="T295">
        <f>IF(D295="Mall",1,0)</f>
        <v>0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 s="3">
        <v>59825.51</v>
      </c>
      <c r="F296">
        <v>1231</v>
      </c>
      <c r="G296" s="4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 s="3">
        <v>498970.32</v>
      </c>
      <c r="N296" s="3">
        <v>69656.7</v>
      </c>
      <c r="O296">
        <f>IF(C296="North",1,0)</f>
        <v>0</v>
      </c>
      <c r="P296">
        <f>IF(C296="South",1,0)</f>
        <v>0</v>
      </c>
      <c r="Q296">
        <f>IF(C296="West",1,0)</f>
        <v>1</v>
      </c>
      <c r="R296">
        <f>IF(D296="Airport",1,0)</f>
        <v>0</v>
      </c>
      <c r="S296">
        <f>IF(D296="High Street",1,0)</f>
        <v>1</v>
      </c>
      <c r="T296">
        <f>IF(D296="Mall",1,0)</f>
        <v>0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 s="3">
        <v>27398.28</v>
      </c>
      <c r="F297">
        <v>1723</v>
      </c>
      <c r="G297" s="4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 s="3">
        <v>487738.26</v>
      </c>
      <c r="N297" s="3">
        <v>96435.6</v>
      </c>
      <c r="O297">
        <f>IF(C297="North",1,0)</f>
        <v>0</v>
      </c>
      <c r="P297">
        <f>IF(C297="South",1,0)</f>
        <v>0</v>
      </c>
      <c r="Q297">
        <f>IF(C297="West",1,0)</f>
        <v>1</v>
      </c>
      <c r="R297">
        <f>IF(D297="Airport",1,0)</f>
        <v>0</v>
      </c>
      <c r="S297">
        <f>IF(D297="High Street",1,0)</f>
        <v>1</v>
      </c>
      <c r="T297">
        <f>IF(D297="Mall",1,0)</f>
        <v>0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 s="3">
        <v>55599.56</v>
      </c>
      <c r="F298">
        <v>5896</v>
      </c>
      <c r="G298" s="4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 s="3">
        <v>668459.37</v>
      </c>
      <c r="N298" s="3">
        <v>126435.42</v>
      </c>
      <c r="O298">
        <f>IF(C298="North",1,0)</f>
        <v>0</v>
      </c>
      <c r="P298">
        <f>IF(C298="South",1,0)</f>
        <v>0</v>
      </c>
      <c r="Q298">
        <f>IF(C298="West",1,0)</f>
        <v>1</v>
      </c>
      <c r="R298">
        <f>IF(D298="Airport",1,0)</f>
        <v>0</v>
      </c>
      <c r="S298">
        <f>IF(D298="High Street",1,0)</f>
        <v>1</v>
      </c>
      <c r="T298">
        <f>IF(D298="Mall",1,0)</f>
        <v>0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 s="3">
        <v>55477.61</v>
      </c>
      <c r="F299">
        <v>5903</v>
      </c>
      <c r="G299" s="4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 s="3">
        <v>763162.45</v>
      </c>
      <c r="N299" s="3">
        <v>162524.04999999999</v>
      </c>
      <c r="O299">
        <f>IF(C299="North",1,0)</f>
        <v>0</v>
      </c>
      <c r="P299">
        <f>IF(C299="South",1,0)</f>
        <v>0</v>
      </c>
      <c r="Q299">
        <f>IF(C299="West",1,0)</f>
        <v>1</v>
      </c>
      <c r="R299">
        <f>IF(D299="Airport",1,0)</f>
        <v>0</v>
      </c>
      <c r="S299">
        <f>IF(D299="High Street",1,0)</f>
        <v>1</v>
      </c>
      <c r="T299">
        <f>IF(D299="Mall",1,0)</f>
        <v>0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 s="3">
        <v>46174.7</v>
      </c>
      <c r="F300">
        <v>4898</v>
      </c>
      <c r="G300" s="4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 s="3">
        <v>599017.32999999996</v>
      </c>
      <c r="N300" s="3">
        <v>134009.92000000001</v>
      </c>
      <c r="O300">
        <f>IF(C300="North",1,0)</f>
        <v>0</v>
      </c>
      <c r="P300">
        <f>IF(C300="South",1,0)</f>
        <v>0</v>
      </c>
      <c r="Q300">
        <f>IF(C300="West",1,0)</f>
        <v>1</v>
      </c>
      <c r="R300">
        <f>IF(D300="Airport",1,0)</f>
        <v>0</v>
      </c>
      <c r="S300">
        <f>IF(D300="High Street",1,0)</f>
        <v>1</v>
      </c>
      <c r="T300">
        <f>IF(D300="Mall",1,0)</f>
        <v>0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 s="3">
        <v>24362.98</v>
      </c>
      <c r="F301">
        <v>1462</v>
      </c>
      <c r="G301" s="4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 s="3">
        <v>401582.58</v>
      </c>
      <c r="N301" s="3">
        <v>68454.929999999993</v>
      </c>
      <c r="O301">
        <f>IF(C301="North",1,0)</f>
        <v>0</v>
      </c>
      <c r="P301">
        <f>IF(C301="South",1,0)</f>
        <v>0</v>
      </c>
      <c r="Q301">
        <f>IF(C301="West",1,0)</f>
        <v>1</v>
      </c>
      <c r="R301">
        <f>IF(D301="Airport",1,0)</f>
        <v>0</v>
      </c>
      <c r="S301">
        <f>IF(D301="High Street",1,0)</f>
        <v>1</v>
      </c>
      <c r="T301">
        <f>IF(D301="Mall",1,0)</f>
        <v>0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 s="3">
        <v>40647.67</v>
      </c>
      <c r="F302">
        <v>8252</v>
      </c>
      <c r="G302" s="4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 s="3">
        <v>703812.99</v>
      </c>
      <c r="N302" s="3">
        <v>133577.98000000001</v>
      </c>
      <c r="O302">
        <f>IF(C302="North",1,0)</f>
        <v>1</v>
      </c>
      <c r="P302">
        <f>IF(C302="South",1,0)</f>
        <v>0</v>
      </c>
      <c r="Q302">
        <f>IF(C302="West",1,0)</f>
        <v>0</v>
      </c>
      <c r="R302">
        <f>IF(D302="Airport",1,0)</f>
        <v>0</v>
      </c>
      <c r="S302">
        <f>IF(D302="High Street",1,0)</f>
        <v>0</v>
      </c>
      <c r="T302">
        <f>IF(D302="Mall",1,0)</f>
        <v>1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 s="3">
        <v>63986.98</v>
      </c>
      <c r="F303">
        <v>7989</v>
      </c>
      <c r="G303" s="4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 s="3">
        <v>724346.73</v>
      </c>
      <c r="N303" s="3">
        <v>155013.91</v>
      </c>
      <c r="O303">
        <f>IF(C303="North",1,0)</f>
        <v>1</v>
      </c>
      <c r="P303">
        <f>IF(C303="South",1,0)</f>
        <v>0</v>
      </c>
      <c r="Q303">
        <f>IF(C303="West",1,0)</f>
        <v>0</v>
      </c>
      <c r="R303">
        <f>IF(D303="Airport",1,0)</f>
        <v>0</v>
      </c>
      <c r="S303">
        <f>IF(D303="High Street",1,0)</f>
        <v>0</v>
      </c>
      <c r="T303">
        <f>IF(D303="Mall",1,0)</f>
        <v>1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 s="3">
        <v>52843.75</v>
      </c>
      <c r="F304">
        <v>8268</v>
      </c>
      <c r="G304" s="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 s="3">
        <v>730890.01</v>
      </c>
      <c r="N304" s="3">
        <v>105502.56</v>
      </c>
      <c r="O304">
        <f>IF(C304="North",1,0)</f>
        <v>1</v>
      </c>
      <c r="P304">
        <f>IF(C304="South",1,0)</f>
        <v>0</v>
      </c>
      <c r="Q304">
        <f>IF(C304="West",1,0)</f>
        <v>0</v>
      </c>
      <c r="R304">
        <f>IF(D304="Airport",1,0)</f>
        <v>0</v>
      </c>
      <c r="S304">
        <f>IF(D304="High Street",1,0)</f>
        <v>0</v>
      </c>
      <c r="T304">
        <f>IF(D304="Mall",1,0)</f>
        <v>1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 s="3">
        <v>31997.25</v>
      </c>
      <c r="F305">
        <v>8183</v>
      </c>
      <c r="G305" s="4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 s="3">
        <v>780580.95</v>
      </c>
      <c r="N305" s="3">
        <v>138144.46</v>
      </c>
      <c r="O305">
        <f>IF(C305="North",1,0)</f>
        <v>1</v>
      </c>
      <c r="P305">
        <f>IF(C305="South",1,0)</f>
        <v>0</v>
      </c>
      <c r="Q305">
        <f>IF(C305="West",1,0)</f>
        <v>0</v>
      </c>
      <c r="R305">
        <f>IF(D305="Airport",1,0)</f>
        <v>0</v>
      </c>
      <c r="S305">
        <f>IF(D305="High Street",1,0)</f>
        <v>0</v>
      </c>
      <c r="T305">
        <f>IF(D305="Mall",1,0)</f>
        <v>1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 s="3">
        <v>54948.02</v>
      </c>
      <c r="F306">
        <v>6534</v>
      </c>
      <c r="G306" s="4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 s="3">
        <v>727957.48</v>
      </c>
      <c r="N306" s="3">
        <v>74805.23</v>
      </c>
      <c r="O306">
        <f>IF(C306="North",1,0)</f>
        <v>0</v>
      </c>
      <c r="P306">
        <f>IF(C306="South",1,0)</f>
        <v>1</v>
      </c>
      <c r="Q306">
        <f>IF(C306="West",1,0)</f>
        <v>0</v>
      </c>
      <c r="R306">
        <f>IF(D306="Airport",1,0)</f>
        <v>0</v>
      </c>
      <c r="S306">
        <f>IF(D306="High Street",1,0)</f>
        <v>0</v>
      </c>
      <c r="T306">
        <f>IF(D306="Mall",1,0)</f>
        <v>0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 s="3">
        <v>46146.239999999998</v>
      </c>
      <c r="F307">
        <v>5804</v>
      </c>
      <c r="G307" s="4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 s="3">
        <v>538376</v>
      </c>
      <c r="N307" s="3">
        <v>87605.62</v>
      </c>
      <c r="O307">
        <f>IF(C307="North",1,0)</f>
        <v>0</v>
      </c>
      <c r="P307">
        <f>IF(C307="South",1,0)</f>
        <v>1</v>
      </c>
      <c r="Q307">
        <f>IF(C307="West",1,0)</f>
        <v>0</v>
      </c>
      <c r="R307">
        <f>IF(D307="Airport",1,0)</f>
        <v>0</v>
      </c>
      <c r="S307">
        <f>IF(D307="High Street",1,0)</f>
        <v>0</v>
      </c>
      <c r="T307">
        <f>IF(D307="Mall",1,0)</f>
        <v>0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 s="3">
        <v>22387.26</v>
      </c>
      <c r="F308">
        <v>6301</v>
      </c>
      <c r="G308" s="4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 s="3">
        <v>665342.49</v>
      </c>
      <c r="N308" s="3">
        <v>93441.81</v>
      </c>
      <c r="O308">
        <f>IF(C308="North",1,0)</f>
        <v>0</v>
      </c>
      <c r="P308">
        <f>IF(C308="South",1,0)</f>
        <v>1</v>
      </c>
      <c r="Q308">
        <f>IF(C308="West",1,0)</f>
        <v>0</v>
      </c>
      <c r="R308">
        <f>IF(D308="Airport",1,0)</f>
        <v>0</v>
      </c>
      <c r="S308">
        <f>IF(D308="High Street",1,0)</f>
        <v>0</v>
      </c>
      <c r="T308">
        <f>IF(D308="Mall",1,0)</f>
        <v>0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 s="3">
        <v>60684.05</v>
      </c>
      <c r="F309">
        <v>6399</v>
      </c>
      <c r="G309" s="4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 s="3">
        <v>651164.18000000005</v>
      </c>
      <c r="N309" s="3">
        <v>109466.5</v>
      </c>
      <c r="O309">
        <f>IF(C309="North",1,0)</f>
        <v>0</v>
      </c>
      <c r="P309">
        <f>IF(C309="South",1,0)</f>
        <v>1</v>
      </c>
      <c r="Q309">
        <f>IF(C309="West",1,0)</f>
        <v>0</v>
      </c>
      <c r="R309">
        <f>IF(D309="Airport",1,0)</f>
        <v>0</v>
      </c>
      <c r="S309">
        <f>IF(D309="High Street",1,0)</f>
        <v>0</v>
      </c>
      <c r="T309">
        <f>IF(D309="Mall",1,0)</f>
        <v>0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 s="3">
        <v>48465.599999999999</v>
      </c>
      <c r="F310">
        <v>5759</v>
      </c>
      <c r="G310" s="4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 s="3">
        <v>628538.30000000005</v>
      </c>
      <c r="N310" s="3">
        <v>112509.15</v>
      </c>
      <c r="O310">
        <f>IF(C310="North",1,0)</f>
        <v>0</v>
      </c>
      <c r="P310">
        <f>IF(C310="South",1,0)</f>
        <v>1</v>
      </c>
      <c r="Q310">
        <f>IF(C310="West",1,0)</f>
        <v>0</v>
      </c>
      <c r="R310">
        <f>IF(D310="Airport",1,0)</f>
        <v>0</v>
      </c>
      <c r="S310">
        <f>IF(D310="High Street",1,0)</f>
        <v>1</v>
      </c>
      <c r="T310">
        <f>IF(D310="Mall",1,0)</f>
        <v>0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 s="3">
        <v>23702.38</v>
      </c>
      <c r="F311">
        <v>5285</v>
      </c>
      <c r="G311" s="4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 s="3">
        <v>536524.84</v>
      </c>
      <c r="N311" s="3">
        <v>92752.94</v>
      </c>
      <c r="O311">
        <f>IF(C311="North",1,0)</f>
        <v>0</v>
      </c>
      <c r="P311">
        <f>IF(C311="South",1,0)</f>
        <v>1</v>
      </c>
      <c r="Q311">
        <f>IF(C311="West",1,0)</f>
        <v>0</v>
      </c>
      <c r="R311">
        <f>IF(D311="Airport",1,0)</f>
        <v>0</v>
      </c>
      <c r="S311">
        <f>IF(D311="High Street",1,0)</f>
        <v>1</v>
      </c>
      <c r="T311">
        <f>IF(D311="Mall",1,0)</f>
        <v>0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 s="3">
        <v>54322.94</v>
      </c>
      <c r="F312">
        <v>5434</v>
      </c>
      <c r="G312" s="4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 s="3">
        <v>621677.30000000005</v>
      </c>
      <c r="N312" s="3">
        <v>105192.52</v>
      </c>
      <c r="O312">
        <f>IF(C312="North",1,0)</f>
        <v>0</v>
      </c>
      <c r="P312">
        <f>IF(C312="South",1,0)</f>
        <v>1</v>
      </c>
      <c r="Q312">
        <f>IF(C312="West",1,0)</f>
        <v>0</v>
      </c>
      <c r="R312">
        <f>IF(D312="Airport",1,0)</f>
        <v>0</v>
      </c>
      <c r="S312">
        <f>IF(D312="High Street",1,0)</f>
        <v>1</v>
      </c>
      <c r="T312">
        <f>IF(D312="Mall",1,0)</f>
        <v>0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 s="3">
        <v>86026.58</v>
      </c>
      <c r="F313">
        <v>7479</v>
      </c>
      <c r="G313" s="4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 s="3">
        <v>771129.07</v>
      </c>
      <c r="N313" s="3">
        <v>116851.13</v>
      </c>
      <c r="O313">
        <f>IF(C313="North",1,0)</f>
        <v>0</v>
      </c>
      <c r="P313">
        <f>IF(C313="South",1,0)</f>
        <v>1</v>
      </c>
      <c r="Q313">
        <f>IF(C313="West",1,0)</f>
        <v>0</v>
      </c>
      <c r="R313">
        <f>IF(D313="Airport",1,0)</f>
        <v>0</v>
      </c>
      <c r="S313">
        <f>IF(D313="High Street",1,0)</f>
        <v>1</v>
      </c>
      <c r="T313">
        <f>IF(D313="Mall",1,0)</f>
        <v>0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 s="3">
        <v>78967.520000000004</v>
      </c>
      <c r="F314">
        <v>6164</v>
      </c>
      <c r="G314" s="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 s="3">
        <v>702052.47</v>
      </c>
      <c r="N314" s="3">
        <v>121732.51</v>
      </c>
      <c r="O314">
        <f>IF(C314="North",1,0)</f>
        <v>1</v>
      </c>
      <c r="P314">
        <f>IF(C314="South",1,0)</f>
        <v>0</v>
      </c>
      <c r="Q314">
        <f>IF(C314="West",1,0)</f>
        <v>0</v>
      </c>
      <c r="R314">
        <f>IF(D314="Airport",1,0)</f>
        <v>0</v>
      </c>
      <c r="S314">
        <f>IF(D314="High Street",1,0)</f>
        <v>0</v>
      </c>
      <c r="T314">
        <f>IF(D314="Mall",1,0)</f>
        <v>0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 s="3">
        <v>46767.99</v>
      </c>
      <c r="F315">
        <v>7973</v>
      </c>
      <c r="G315" s="4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 s="3">
        <v>688368.46</v>
      </c>
      <c r="N315" s="3">
        <v>93588.42</v>
      </c>
      <c r="O315">
        <f>IF(C315="North",1,0)</f>
        <v>1</v>
      </c>
      <c r="P315">
        <f>IF(C315="South",1,0)</f>
        <v>0</v>
      </c>
      <c r="Q315">
        <f>IF(C315="West",1,0)</f>
        <v>0</v>
      </c>
      <c r="R315">
        <f>IF(D315="Airport",1,0)</f>
        <v>0</v>
      </c>
      <c r="S315">
        <f>IF(D315="High Street",1,0)</f>
        <v>0</v>
      </c>
      <c r="T315">
        <f>IF(D315="Mall",1,0)</f>
        <v>0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 s="3">
        <v>62507.16</v>
      </c>
      <c r="F316">
        <v>6000</v>
      </c>
      <c r="G316" s="4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 s="3">
        <v>712375.77</v>
      </c>
      <c r="N316" s="3">
        <v>104171.53</v>
      </c>
      <c r="O316">
        <f>IF(C316="North",1,0)</f>
        <v>1</v>
      </c>
      <c r="P316">
        <f>IF(C316="South",1,0)</f>
        <v>0</v>
      </c>
      <c r="Q316">
        <f>IF(C316="West",1,0)</f>
        <v>0</v>
      </c>
      <c r="R316">
        <f>IF(D316="Airport",1,0)</f>
        <v>0</v>
      </c>
      <c r="S316">
        <f>IF(D316="High Street",1,0)</f>
        <v>0</v>
      </c>
      <c r="T316">
        <f>IF(D316="Mall",1,0)</f>
        <v>0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 s="3">
        <v>66456.28</v>
      </c>
      <c r="F317">
        <v>9967</v>
      </c>
      <c r="G317" s="4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 s="3">
        <v>844710.67</v>
      </c>
      <c r="N317" s="3">
        <v>137140.18</v>
      </c>
      <c r="O317">
        <f>IF(C317="North",1,0)</f>
        <v>1</v>
      </c>
      <c r="P317">
        <f>IF(C317="South",1,0)</f>
        <v>0</v>
      </c>
      <c r="Q317">
        <f>IF(C317="West",1,0)</f>
        <v>0</v>
      </c>
      <c r="R317">
        <f>IF(D317="Airport",1,0)</f>
        <v>0</v>
      </c>
      <c r="S317">
        <f>IF(D317="High Street",1,0)</f>
        <v>0</v>
      </c>
      <c r="T317">
        <f>IF(D317="Mall",1,0)</f>
        <v>0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 s="3">
        <v>76614.320000000007</v>
      </c>
      <c r="F318">
        <v>5639</v>
      </c>
      <c r="G318" s="4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 s="3">
        <v>620264.19999999995</v>
      </c>
      <c r="N318" s="3">
        <v>91365.64</v>
      </c>
      <c r="O318">
        <f>IF(C318="North",1,0)</f>
        <v>0</v>
      </c>
      <c r="P318">
        <f>IF(C318="South",1,0)</f>
        <v>0</v>
      </c>
      <c r="Q318">
        <f>IF(C318="West",1,0)</f>
        <v>0</v>
      </c>
      <c r="R318">
        <f>IF(D318="Airport",1,0)</f>
        <v>0</v>
      </c>
      <c r="S318">
        <f>IF(D318="High Street",1,0)</f>
        <v>0</v>
      </c>
      <c r="T318">
        <f>IF(D318="Mall",1,0)</f>
        <v>0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 s="3">
        <v>24088.06</v>
      </c>
      <c r="F319">
        <v>3466</v>
      </c>
      <c r="G319" s="4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 s="3">
        <v>536845.42000000004</v>
      </c>
      <c r="N319" s="3">
        <v>107473.75</v>
      </c>
      <c r="O319">
        <f>IF(C319="North",1,0)</f>
        <v>0</v>
      </c>
      <c r="P319">
        <f>IF(C319="South",1,0)</f>
        <v>0</v>
      </c>
      <c r="Q319">
        <f>IF(C319="West",1,0)</f>
        <v>0</v>
      </c>
      <c r="R319">
        <f>IF(D319="Airport",1,0)</f>
        <v>0</v>
      </c>
      <c r="S319">
        <f>IF(D319="High Street",1,0)</f>
        <v>0</v>
      </c>
      <c r="T319">
        <f>IF(D319="Mall",1,0)</f>
        <v>0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 s="3">
        <v>81902.58</v>
      </c>
      <c r="F320">
        <v>7775</v>
      </c>
      <c r="G320" s="4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 s="3">
        <v>726776.22</v>
      </c>
      <c r="N320" s="3">
        <v>90804.49</v>
      </c>
      <c r="O320">
        <f>IF(C320="North",1,0)</f>
        <v>0</v>
      </c>
      <c r="P320">
        <f>IF(C320="South",1,0)</f>
        <v>0</v>
      </c>
      <c r="Q320">
        <f>IF(C320="West",1,0)</f>
        <v>0</v>
      </c>
      <c r="R320">
        <f>IF(D320="Airport",1,0)</f>
        <v>0</v>
      </c>
      <c r="S320">
        <f>IF(D320="High Street",1,0)</f>
        <v>0</v>
      </c>
      <c r="T320">
        <f>IF(D320="Mall",1,0)</f>
        <v>0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 s="3">
        <v>40553.11</v>
      </c>
      <c r="F321">
        <v>5317</v>
      </c>
      <c r="G321" s="4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 s="3">
        <v>559660.84</v>
      </c>
      <c r="N321" s="3">
        <v>71443.61</v>
      </c>
      <c r="O321">
        <f>IF(C321="North",1,0)</f>
        <v>0</v>
      </c>
      <c r="P321">
        <f>IF(C321="South",1,0)</f>
        <v>0</v>
      </c>
      <c r="Q321">
        <f>IF(C321="West",1,0)</f>
        <v>0</v>
      </c>
      <c r="R321">
        <f>IF(D321="Airport",1,0)</f>
        <v>0</v>
      </c>
      <c r="S321">
        <f>IF(D321="High Street",1,0)</f>
        <v>0</v>
      </c>
      <c r="T321">
        <f>IF(D321="Mall",1,0)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Normal="100" zoomScaleSheetLayoutView="100" workbookViewId="0"/>
  </sheetViews>
  <sheetFormatPr defaultRowHeight="15"/>
  <cols>
    <col min="1" max="1" width="61.125" customWidth="1"/>
    <col min="2" max="2" width="43.625" customWidth="1"/>
    <col min="3" max="3" width="8" customWidth="1"/>
    <col min="4" max="4" width="4.75" customWidth="1"/>
    <col min="5" max="5" width="6.125" customWidth="1"/>
    <col min="7" max="7" width="18.25" customWidth="1"/>
    <col min="8" max="8" width="92.625" customWidth="1"/>
  </cols>
  <sheetData>
    <row r="1" spans="1:8">
      <c r="A1" s="9" t="s">
        <v>110</v>
      </c>
      <c r="B1" s="10"/>
      <c r="C1" s="10"/>
      <c r="D1" s="10"/>
      <c r="E1" s="10"/>
      <c r="F1" s="10"/>
      <c r="G1" s="10"/>
      <c r="H1" s="10"/>
    </row>
    <row r="3" spans="1:8">
      <c r="A3" s="5" t="s">
        <v>111</v>
      </c>
      <c r="B3" t="s">
        <v>12</v>
      </c>
      <c r="G3" s="5" t="s">
        <v>112</v>
      </c>
      <c r="H3" s="8" t="s">
        <v>113</v>
      </c>
    </row>
    <row r="4" spans="1:8">
      <c r="A4" s="5" t="s">
        <v>114</v>
      </c>
      <c r="B4" t="s">
        <v>4</v>
      </c>
      <c r="G4" s="5" t="s">
        <v>115</v>
      </c>
      <c r="H4" s="8" t="s">
        <v>116</v>
      </c>
    </row>
    <row r="5" spans="1:8">
      <c r="A5" s="5" t="s">
        <v>117</v>
      </c>
      <c r="B5">
        <v>320</v>
      </c>
      <c r="G5" s="5" t="s">
        <v>118</v>
      </c>
      <c r="H5" s="8" t="s">
        <v>119</v>
      </c>
    </row>
    <row r="6" spans="1:8">
      <c r="A6" s="5" t="s">
        <v>120</v>
      </c>
      <c r="B6" s="6">
        <v>0.16724469112486995</v>
      </c>
      <c r="G6" s="5" t="s">
        <v>121</v>
      </c>
      <c r="H6" s="8" t="s">
        <v>122</v>
      </c>
    </row>
    <row r="7" spans="1:8">
      <c r="A7" s="5" t="s">
        <v>123</v>
      </c>
      <c r="B7" s="6">
        <v>0.16462596373847016</v>
      </c>
      <c r="G7" s="5" t="s">
        <v>124</v>
      </c>
      <c r="H7" s="8" t="s">
        <v>125</v>
      </c>
    </row>
    <row r="8" spans="1:8">
      <c r="A8" s="5" t="s">
        <v>126</v>
      </c>
      <c r="B8" s="6">
        <v>94846.033832158515</v>
      </c>
    </row>
    <row r="9" spans="1:8">
      <c r="A9" s="5" t="s">
        <v>127</v>
      </c>
      <c r="B9" t="s">
        <v>128</v>
      </c>
    </row>
    <row r="12" spans="1:8">
      <c r="A12" s="1" t="s">
        <v>129</v>
      </c>
      <c r="B12" s="1" t="s">
        <v>130</v>
      </c>
      <c r="C12" s="1" t="s">
        <v>131</v>
      </c>
      <c r="D12" s="1" t="s">
        <v>132</v>
      </c>
      <c r="E12" s="1" t="s">
        <v>133</v>
      </c>
    </row>
    <row r="13" spans="1:8">
      <c r="A13" t="s">
        <v>134</v>
      </c>
      <c r="B13" s="6">
        <v>560777.34544943715</v>
      </c>
      <c r="C13" s="6">
        <v>15906.90595306859</v>
      </c>
      <c r="D13" s="6">
        <v>35.253703460870589</v>
      </c>
      <c r="E13" s="7">
        <v>0</v>
      </c>
    </row>
    <row r="14" spans="1:8">
      <c r="A14" t="s">
        <v>4</v>
      </c>
      <c r="B14" s="6">
        <v>2.1295753275898281</v>
      </c>
      <c r="C14" s="6">
        <v>0.26647838106932192</v>
      </c>
      <c r="D14" s="6">
        <v>7.9915500801389161</v>
      </c>
      <c r="E14" s="7">
        <v>2.4868995751603507E-14</v>
      </c>
    </row>
    <row r="15" spans="1:8">
      <c r="B15" s="6"/>
      <c r="C15" s="6"/>
      <c r="D15" s="6"/>
      <c r="E15" s="7"/>
    </row>
    <row r="16" spans="1:8">
      <c r="B16" s="6"/>
      <c r="C16" s="6"/>
      <c r="D16" s="6"/>
      <c r="E16" s="7"/>
    </row>
    <row r="17" spans="2:5">
      <c r="B17" s="6"/>
      <c r="C17" s="6"/>
      <c r="D17" s="6"/>
      <c r="E17" s="7"/>
    </row>
    <row r="18" spans="2:5">
      <c r="B18" s="6"/>
      <c r="C18" s="6"/>
      <c r="D18" s="6"/>
      <c r="E18" s="7"/>
    </row>
    <row r="19" spans="2:5">
      <c r="B19" s="6"/>
      <c r="C19" s="6"/>
      <c r="D19" s="6"/>
      <c r="E19" s="7"/>
    </row>
    <row r="20" spans="2:5">
      <c r="B20" s="6"/>
      <c r="C20" s="6"/>
      <c r="D20" s="6"/>
      <c r="E20" s="7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zoomScaleNormal="100" zoomScaleSheetLayoutView="100" workbookViewId="0"/>
  </sheetViews>
  <sheetFormatPr defaultRowHeight="15"/>
  <cols>
    <col min="1" max="1" width="51.875" customWidth="1"/>
    <col min="2" max="2" width="36.875" customWidth="1"/>
    <col min="3" max="3" width="7.75" customWidth="1"/>
    <col min="4" max="4" width="4.75" customWidth="1"/>
    <col min="5" max="5" width="6.125" customWidth="1"/>
    <col min="7" max="7" width="18.25" customWidth="1"/>
    <col min="8" max="8" width="92.875" customWidth="1"/>
  </cols>
  <sheetData>
    <row r="1" spans="1:8">
      <c r="A1" s="9" t="s">
        <v>135</v>
      </c>
      <c r="B1" s="10"/>
      <c r="C1" s="10"/>
      <c r="D1" s="10"/>
      <c r="E1" s="10"/>
      <c r="F1" s="10"/>
      <c r="G1" s="10"/>
      <c r="H1" s="10"/>
    </row>
    <row r="3" spans="1:8">
      <c r="A3" s="5" t="s">
        <v>111</v>
      </c>
      <c r="B3" t="s">
        <v>12</v>
      </c>
      <c r="G3" s="5" t="s">
        <v>112</v>
      </c>
      <c r="H3" s="8" t="s">
        <v>136</v>
      </c>
    </row>
    <row r="4" spans="1:8">
      <c r="A4" s="5" t="s">
        <v>114</v>
      </c>
      <c r="B4" t="s">
        <v>5</v>
      </c>
      <c r="G4" s="5" t="s">
        <v>115</v>
      </c>
      <c r="H4" s="8" t="s">
        <v>116</v>
      </c>
    </row>
    <row r="5" spans="1:8">
      <c r="A5" s="5" t="s">
        <v>117</v>
      </c>
      <c r="B5">
        <v>320</v>
      </c>
      <c r="G5" s="5" t="s">
        <v>118</v>
      </c>
      <c r="H5" s="8" t="s">
        <v>119</v>
      </c>
    </row>
    <row r="6" spans="1:8">
      <c r="A6" s="5" t="s">
        <v>120</v>
      </c>
      <c r="B6" s="6">
        <v>0.73628534000331103</v>
      </c>
      <c r="G6" s="5" t="s">
        <v>121</v>
      </c>
      <c r="H6" s="8" t="s">
        <v>137</v>
      </c>
    </row>
    <row r="7" spans="1:8">
      <c r="A7" s="5" t="s">
        <v>123</v>
      </c>
      <c r="B7" s="6">
        <v>0.73545604861967362</v>
      </c>
      <c r="G7" s="5" t="s">
        <v>124</v>
      </c>
      <c r="H7" s="8" t="s">
        <v>125</v>
      </c>
    </row>
    <row r="8" spans="1:8">
      <c r="A8" s="5" t="s">
        <v>126</v>
      </c>
      <c r="B8" s="6">
        <v>53373.736380790499</v>
      </c>
    </row>
    <row r="9" spans="1:8">
      <c r="A9" s="5" t="s">
        <v>127</v>
      </c>
      <c r="B9" t="s">
        <v>138</v>
      </c>
    </row>
    <row r="12" spans="1:8">
      <c r="A12" s="1" t="s">
        <v>129</v>
      </c>
      <c r="B12" s="1" t="s">
        <v>130</v>
      </c>
      <c r="C12" s="1" t="s">
        <v>131</v>
      </c>
      <c r="D12" s="1" t="s">
        <v>132</v>
      </c>
      <c r="E12" s="1" t="s">
        <v>133</v>
      </c>
    </row>
    <row r="13" spans="1:8">
      <c r="A13" t="s">
        <v>134</v>
      </c>
      <c r="B13" s="6">
        <v>446410.58293395385</v>
      </c>
      <c r="C13" s="6">
        <v>8407.7382630059928</v>
      </c>
      <c r="D13" s="6">
        <v>53.095204556754368</v>
      </c>
      <c r="E13" s="7">
        <v>0</v>
      </c>
    </row>
    <row r="14" spans="1:8">
      <c r="A14" t="s">
        <v>5</v>
      </c>
      <c r="B14" s="6">
        <v>35.678031072640437</v>
      </c>
      <c r="C14" s="6">
        <v>1.1973782890340823</v>
      </c>
      <c r="D14" s="6">
        <v>29.79679137277634</v>
      </c>
      <c r="E14" s="7">
        <v>0</v>
      </c>
    </row>
    <row r="15" spans="1:8">
      <c r="B15" s="6"/>
      <c r="C15" s="6"/>
      <c r="D15" s="6"/>
      <c r="E15" s="7"/>
    </row>
    <row r="16" spans="1:8">
      <c r="B16" s="6"/>
      <c r="C16" s="6"/>
      <c r="D16" s="6"/>
      <c r="E16" s="7"/>
    </row>
    <row r="17" spans="2:5">
      <c r="B17" s="6"/>
      <c r="C17" s="6"/>
      <c r="D17" s="6"/>
      <c r="E17" s="7"/>
    </row>
    <row r="18" spans="2:5">
      <c r="B18" s="6"/>
      <c r="C18" s="6"/>
      <c r="D18" s="6"/>
      <c r="E18" s="7"/>
    </row>
    <row r="19" spans="2:5">
      <c r="B19" s="6"/>
      <c r="C19" s="6"/>
      <c r="D19" s="6"/>
      <c r="E19" s="7"/>
    </row>
    <row r="20" spans="2:5">
      <c r="B20" s="6"/>
      <c r="C20" s="6"/>
      <c r="D20" s="6"/>
      <c r="E20" s="7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zoomScaleNormal="100" zoomScaleSheetLayoutView="100" workbookViewId="0"/>
  </sheetViews>
  <sheetFormatPr defaultRowHeight="15"/>
  <cols>
    <col min="1" max="1" width="48.875" customWidth="1"/>
    <col min="2" max="2" width="184.125" customWidth="1"/>
    <col min="3" max="3" width="8" customWidth="1"/>
    <col min="4" max="4" width="4.75" customWidth="1"/>
    <col min="5" max="5" width="6.125" customWidth="1"/>
    <col min="7" max="7" width="16.625" customWidth="1"/>
    <col min="8" max="8" width="95.125" customWidth="1"/>
  </cols>
  <sheetData>
    <row r="1" spans="1:8">
      <c r="A1" s="9" t="s">
        <v>139</v>
      </c>
      <c r="B1" s="10"/>
      <c r="C1" s="10"/>
      <c r="D1" s="10"/>
      <c r="E1" s="10"/>
      <c r="F1" s="10"/>
      <c r="G1" s="10"/>
      <c r="H1" s="10"/>
    </row>
    <row r="3" spans="1:8">
      <c r="A3" s="5" t="s">
        <v>111</v>
      </c>
      <c r="B3" t="s">
        <v>12</v>
      </c>
      <c r="G3" s="5" t="s">
        <v>140</v>
      </c>
      <c r="H3" s="8" t="s">
        <v>141</v>
      </c>
    </row>
    <row r="4" spans="1:8">
      <c r="A4" s="5" t="s">
        <v>142</v>
      </c>
      <c r="B4" t="s">
        <v>143</v>
      </c>
      <c r="G4" s="5" t="s">
        <v>144</v>
      </c>
      <c r="H4" s="8" t="s">
        <v>145</v>
      </c>
    </row>
    <row r="5" spans="1:8">
      <c r="A5" s="5" t="s">
        <v>117</v>
      </c>
      <c r="B5">
        <v>320</v>
      </c>
      <c r="G5" s="5" t="s">
        <v>146</v>
      </c>
      <c r="H5" s="8" t="s">
        <v>147</v>
      </c>
    </row>
    <row r="6" spans="1:8">
      <c r="A6" s="5" t="s">
        <v>120</v>
      </c>
      <c r="B6" s="6">
        <v>0.85698738547665765</v>
      </c>
      <c r="G6" s="5" t="s">
        <v>148</v>
      </c>
      <c r="H6" s="8" t="s">
        <v>149</v>
      </c>
    </row>
    <row r="7" spans="1:8">
      <c r="A7" s="5" t="s">
        <v>123</v>
      </c>
      <c r="B7" s="6">
        <v>0.85042287202312716</v>
      </c>
      <c r="G7" s="5" t="s">
        <v>121</v>
      </c>
      <c r="H7" s="8" t="s">
        <v>150</v>
      </c>
    </row>
    <row r="8" spans="1:8">
      <c r="A8" s="5" t="s">
        <v>126</v>
      </c>
      <c r="B8" s="6">
        <v>40133.892517127199</v>
      </c>
      <c r="G8" s="5" t="s">
        <v>151</v>
      </c>
      <c r="H8" s="8" t="s">
        <v>152</v>
      </c>
    </row>
    <row r="9" spans="1:8">
      <c r="A9" s="5" t="s">
        <v>153</v>
      </c>
      <c r="B9" t="s">
        <v>154</v>
      </c>
      <c r="G9" s="5" t="s">
        <v>155</v>
      </c>
      <c r="H9" s="8" t="s">
        <v>156</v>
      </c>
    </row>
    <row r="10" spans="1:8">
      <c r="G10" s="5" t="s">
        <v>124</v>
      </c>
      <c r="H10" s="8" t="s">
        <v>157</v>
      </c>
    </row>
    <row r="12" spans="1:8">
      <c r="A12" s="1" t="s">
        <v>129</v>
      </c>
      <c r="B12" s="1" t="s">
        <v>130</v>
      </c>
      <c r="C12" s="1" t="s">
        <v>131</v>
      </c>
      <c r="D12" s="1" t="s">
        <v>132</v>
      </c>
      <c r="E12" s="1" t="s">
        <v>133</v>
      </c>
    </row>
    <row r="13" spans="1:8">
      <c r="A13" t="s">
        <v>134</v>
      </c>
      <c r="B13" s="6">
        <v>41624.050016456713</v>
      </c>
      <c r="C13" s="6">
        <v>45275.268209328518</v>
      </c>
      <c r="D13" s="6">
        <v>0.91935512836742272</v>
      </c>
      <c r="E13" s="7">
        <v>0.35863635726764209</v>
      </c>
    </row>
    <row r="14" spans="1:8">
      <c r="A14" t="s">
        <v>4</v>
      </c>
      <c r="B14" s="6">
        <v>1.2099284920599764</v>
      </c>
      <c r="C14" s="6">
        <v>0.11693921413810519</v>
      </c>
      <c r="D14" s="6">
        <v>10.346644630526173</v>
      </c>
      <c r="E14" s="7">
        <v>0</v>
      </c>
    </row>
    <row r="15" spans="1:8">
      <c r="A15" t="s">
        <v>5</v>
      </c>
      <c r="B15" s="6">
        <v>27.336194815610593</v>
      </c>
      <c r="C15" s="6">
        <v>2.3063597168415293</v>
      </c>
      <c r="D15" s="6">
        <v>11.852528734349583</v>
      </c>
      <c r="E15" s="7">
        <v>0</v>
      </c>
    </row>
    <row r="16" spans="1:8">
      <c r="A16" t="s">
        <v>6</v>
      </c>
      <c r="B16" s="6">
        <v>-41243.148834222797</v>
      </c>
      <c r="C16" s="6">
        <v>33875.970771640234</v>
      </c>
      <c r="D16" s="6">
        <v>-1.217475038936747</v>
      </c>
      <c r="E16" s="7">
        <v>0.22436462895841514</v>
      </c>
    </row>
    <row r="17" spans="1:5">
      <c r="A17" t="s">
        <v>8</v>
      </c>
      <c r="B17" s="6">
        <v>3062.2102855188796</v>
      </c>
      <c r="C17" s="6">
        <v>426.10270671377981</v>
      </c>
      <c r="D17" s="6">
        <v>7.1865544087609292</v>
      </c>
      <c r="E17" s="7">
        <v>5.1341153550765739E-12</v>
      </c>
    </row>
    <row r="18" spans="1:5">
      <c r="A18" t="s">
        <v>11</v>
      </c>
      <c r="B18" s="6">
        <v>12509.461305565297</v>
      </c>
      <c r="C18" s="6">
        <v>4448.8855743032127</v>
      </c>
      <c r="D18" s="6">
        <v>2.8118190716839324</v>
      </c>
      <c r="E18" s="7">
        <v>5.2453969385271026E-3</v>
      </c>
    </row>
    <row r="19" spans="1:5">
      <c r="A19" t="s">
        <v>7</v>
      </c>
      <c r="B19" s="6">
        <v>3508.3991633991141</v>
      </c>
      <c r="C19" s="6">
        <v>1161.8068351442218</v>
      </c>
      <c r="D19" s="6">
        <v>3.0197783807698086</v>
      </c>
      <c r="E19" s="7">
        <v>2.7434138311839273E-3</v>
      </c>
    </row>
    <row r="20" spans="1:5">
      <c r="A20" t="s">
        <v>10</v>
      </c>
      <c r="B20" s="6">
        <v>15157.287282130037</v>
      </c>
      <c r="C20" s="6">
        <v>6127.8091647488827</v>
      </c>
      <c r="D20" s="6">
        <v>2.4735246928583461</v>
      </c>
      <c r="E20" s="7">
        <v>1.3923163656386128E-2</v>
      </c>
    </row>
    <row r="21" spans="1:5">
      <c r="A21" t="s">
        <v>9</v>
      </c>
      <c r="B21" s="6">
        <v>-3438.1079103628736</v>
      </c>
      <c r="C21" s="6">
        <v>540.28003647917944</v>
      </c>
      <c r="D21" s="6">
        <v>-6.3635664437424877</v>
      </c>
      <c r="E21" s="7">
        <v>7.2150951879734748E-10</v>
      </c>
    </row>
    <row r="22" spans="1:5">
      <c r="A22" t="s">
        <v>104</v>
      </c>
      <c r="B22" s="6">
        <v>9948.7136019112368</v>
      </c>
      <c r="C22" s="6">
        <v>6567.2743295024802</v>
      </c>
      <c r="D22" s="6">
        <v>1.5148923438782138</v>
      </c>
      <c r="E22" s="7">
        <v>0.13083528987202064</v>
      </c>
    </row>
    <row r="23" spans="1:5">
      <c r="A23" t="s">
        <v>105</v>
      </c>
      <c r="B23" s="6">
        <v>21089.565690568721</v>
      </c>
      <c r="C23" s="6">
        <v>6630.0868557677959</v>
      </c>
      <c r="D23" s="6">
        <v>3.1808882974469643</v>
      </c>
      <c r="E23" s="7">
        <v>1.6193792507606108E-3</v>
      </c>
    </row>
    <row r="24" spans="1:5">
      <c r="A24" t="s">
        <v>106</v>
      </c>
      <c r="B24" s="6">
        <v>25291.418908062944</v>
      </c>
      <c r="C24" s="6">
        <v>5898.7976000956205</v>
      </c>
      <c r="D24" s="6">
        <v>4.2875549599553926</v>
      </c>
      <c r="E24" s="7">
        <v>2.4264744625135393E-5</v>
      </c>
    </row>
    <row r="25" spans="1:5">
      <c r="A25" t="s">
        <v>107</v>
      </c>
      <c r="B25" s="6">
        <v>44695.0948977402</v>
      </c>
      <c r="C25" s="6">
        <v>8748.7921084708869</v>
      </c>
      <c r="D25" s="6">
        <v>5.1087160768701825</v>
      </c>
      <c r="E25" s="7">
        <v>5.728674443705728E-7</v>
      </c>
    </row>
    <row r="26" spans="1:5">
      <c r="A26" t="s">
        <v>108</v>
      </c>
      <c r="B26" s="6">
        <v>20219.259073528599</v>
      </c>
      <c r="C26" s="6">
        <v>5565.03283019217</v>
      </c>
      <c r="D26" s="6">
        <v>3.6332686060416997</v>
      </c>
      <c r="E26" s="7">
        <v>3.2825494084853801E-4</v>
      </c>
    </row>
    <row r="27" spans="1:5">
      <c r="A27" t="s">
        <v>109</v>
      </c>
      <c r="B27" s="6">
        <v>32832.853512031215</v>
      </c>
      <c r="C27" s="6">
        <v>6158.3725326794802</v>
      </c>
      <c r="D27" s="6">
        <v>5.3314172434037195</v>
      </c>
      <c r="E27" s="7">
        <v>1.8999741402403458E-7</v>
      </c>
    </row>
    <row r="28" spans="1:5">
      <c r="B28" s="6"/>
      <c r="C28" s="6"/>
      <c r="D28" s="6"/>
      <c r="E28" s="7"/>
    </row>
    <row r="29" spans="1:5">
      <c r="B29" s="6"/>
      <c r="C29" s="6"/>
      <c r="D29" s="6"/>
      <c r="E29" s="7"/>
    </row>
    <row r="30" spans="1:5">
      <c r="B30" s="6"/>
      <c r="C30" s="6"/>
      <c r="D30" s="6"/>
      <c r="E30" s="7"/>
    </row>
    <row r="31" spans="1:5">
      <c r="B31" s="6"/>
      <c r="C31" s="6"/>
      <c r="D31" s="6"/>
      <c r="E31" s="7"/>
    </row>
    <row r="32" spans="1:5">
      <c r="B32" s="6"/>
      <c r="C32" s="6"/>
      <c r="D32" s="6"/>
      <c r="E32" s="7"/>
    </row>
    <row r="33" spans="2:5">
      <c r="B33" s="6"/>
      <c r="C33" s="6"/>
      <c r="D33" s="6"/>
      <c r="E33" s="7"/>
    </row>
    <row r="34" spans="2:5">
      <c r="B34" s="6"/>
      <c r="C34" s="6"/>
      <c r="D34" s="6"/>
      <c r="E34" s="7"/>
    </row>
    <row r="35" spans="2:5">
      <c r="B35" s="6"/>
      <c r="C35" s="6"/>
      <c r="D35" s="6"/>
      <c r="E35" s="7"/>
    </row>
    <row r="36" spans="2:5">
      <c r="B36" s="6"/>
      <c r="C36" s="6"/>
      <c r="D36" s="6"/>
      <c r="E36" s="7"/>
    </row>
    <row r="37" spans="2:5">
      <c r="B37" s="6"/>
      <c r="C37" s="6"/>
      <c r="D37" s="6"/>
      <c r="E37" s="7"/>
    </row>
    <row r="38" spans="2:5">
      <c r="B38" s="6"/>
      <c r="C38" s="6"/>
      <c r="D38" s="6"/>
      <c r="E38" s="7"/>
    </row>
    <row r="39" spans="2:5">
      <c r="B39" s="6"/>
      <c r="C39" s="6"/>
      <c r="D39" s="6"/>
      <c r="E39" s="7"/>
    </row>
    <row r="40" spans="2:5">
      <c r="B40" s="6"/>
      <c r="C40" s="6"/>
      <c r="D40" s="6"/>
      <c r="E40" s="7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1"/>
  <sheetViews>
    <sheetView zoomScaleNormal="100" zoomScaleSheetLayoutView="100" workbookViewId="0"/>
  </sheetViews>
  <sheetFormatPr defaultRowHeight="15"/>
  <cols>
    <col min="1" max="1" width="7.5" customWidth="1"/>
    <col min="2" max="2" width="9.125" customWidth="1"/>
    <col min="3" max="3" width="5.375" customWidth="1"/>
    <col min="4" max="4" width="8.875" customWidth="1"/>
    <col min="5" max="5" width="17.125" customWidth="1"/>
    <col min="6" max="6" width="16.875" customWidth="1"/>
    <col min="7" max="7" width="17.375" customWidth="1"/>
    <col min="8" max="8" width="16.875" customWidth="1"/>
    <col min="9" max="9" width="14.375" customWidth="1"/>
    <col min="11" max="11" width="30.75" customWidth="1"/>
    <col min="12" max="12" width="9.125" customWidth="1"/>
    <col min="13" max="13" width="5.75" customWidth="1"/>
    <col min="14" max="14" width="8.5" customWidth="1"/>
    <col min="15" max="15" width="17.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K1" s="9" t="s">
        <v>163</v>
      </c>
      <c r="L1" s="10"/>
      <c r="M1" s="10"/>
      <c r="N1" s="10"/>
      <c r="O1" s="10"/>
    </row>
    <row r="2" spans="1:15">
      <c r="A2" t="s">
        <v>14</v>
      </c>
      <c r="B2" s="2">
        <v>45658</v>
      </c>
      <c r="C2" t="s">
        <v>15</v>
      </c>
      <c r="D2" t="s">
        <v>16</v>
      </c>
      <c r="E2" s="3">
        <v>658832.62</v>
      </c>
      <c r="F2" s="3">
        <f>Multiple_Model!$B$13+Multiple_Model!$B$14*Dummy_Variables!E2+Multiple_Model!$B$15*Dummy_Variables!F2+Multiple_Model!$B$16*Dummy_Variables!G2+Multiple_Model!$B$17*Dummy_Variables!I2+Multiple_Model!$B$18*Dummy_Variables!L2+Multiple_Model!$B$19*Dummy_Variables!H2+Multiple_Model!$B$20*Dummy_Variables!K2+Multiple_Model!$B$21*Dummy_Variables!J2+Multiple_Model!$B$22*Dummy_Variables!O2+Multiple_Model!$B$23*Dummy_Variables!P2+Multiple_Model!$B$24*Dummy_Variables!Q2+Multiple_Model!$B$25*Dummy_Variables!R2+Multiple_Model!$B$26*Dummy_Variables!S2+Multiple_Model!$B$27*Dummy_Variables!T2</f>
        <v>677094.68159872969</v>
      </c>
      <c r="G2" s="3">
        <f>E2-F2</f>
        <v>-18262.061598729691</v>
      </c>
      <c r="H2" s="3">
        <f>ABS(G2)</f>
        <v>18262.061598729691</v>
      </c>
      <c r="I2" t="str">
        <f>IF(G2&gt;0,"Under-predicted","Over-predicted")</f>
        <v>Over-predicted</v>
      </c>
    </row>
    <row r="3" spans="1:15">
      <c r="A3" t="s">
        <v>14</v>
      </c>
      <c r="B3" s="2">
        <v>45689</v>
      </c>
      <c r="C3" t="s">
        <v>15</v>
      </c>
      <c r="D3" t="s">
        <v>16</v>
      </c>
      <c r="E3" s="3">
        <v>634436</v>
      </c>
      <c r="F3" s="3">
        <f>Multiple_Model!$B$13+Multiple_Model!$B$14*Dummy_Variables!E3+Multiple_Model!$B$15*Dummy_Variables!F3+Multiple_Model!$B$16*Dummy_Variables!G3+Multiple_Model!$B$17*Dummy_Variables!I3+Multiple_Model!$B$18*Dummy_Variables!L3+Multiple_Model!$B$19*Dummy_Variables!H3+Multiple_Model!$B$20*Dummy_Variables!K3+Multiple_Model!$B$21*Dummy_Variables!J3+Multiple_Model!$B$22*Dummy_Variables!O3+Multiple_Model!$B$23*Dummy_Variables!P3+Multiple_Model!$B$24*Dummy_Variables!Q3+Multiple_Model!$B$25*Dummy_Variables!R3+Multiple_Model!$B$26*Dummy_Variables!S3+Multiple_Model!$B$27*Dummy_Variables!T3</f>
        <v>679078.07468815672</v>
      </c>
      <c r="G3" s="3">
        <f>E3-F3</f>
        <v>-44642.074688156717</v>
      </c>
      <c r="H3" s="3">
        <f>ABS(G3)</f>
        <v>44642.074688156717</v>
      </c>
      <c r="I3" t="str">
        <f>IF(G3&gt;0,"Under-predicted","Over-predicted")</f>
        <v>Over-predicted</v>
      </c>
      <c r="K3" s="1" t="s">
        <v>164</v>
      </c>
      <c r="L3" s="1" t="s">
        <v>165</v>
      </c>
      <c r="M3" s="1" t="s">
        <v>166</v>
      </c>
      <c r="N3" s="1" t="s">
        <v>167</v>
      </c>
      <c r="O3" s="1" t="s">
        <v>168</v>
      </c>
    </row>
    <row r="4" spans="1:15">
      <c r="A4" t="s">
        <v>14</v>
      </c>
      <c r="B4" s="2">
        <v>45717</v>
      </c>
      <c r="C4" t="s">
        <v>15</v>
      </c>
      <c r="D4" t="s">
        <v>16</v>
      </c>
      <c r="E4" s="3">
        <v>678722.06</v>
      </c>
      <c r="F4" s="3">
        <f>Multiple_Model!$B$13+Multiple_Model!$B$14*Dummy_Variables!E4+Multiple_Model!$B$15*Dummy_Variables!F4+Multiple_Model!$B$16*Dummy_Variables!G4+Multiple_Model!$B$17*Dummy_Variables!I4+Multiple_Model!$B$18*Dummy_Variables!L4+Multiple_Model!$B$19*Dummy_Variables!H4+Multiple_Model!$B$20*Dummy_Variables!K4+Multiple_Model!$B$21*Dummy_Variables!J4+Multiple_Model!$B$22*Dummy_Variables!O4+Multiple_Model!$B$23*Dummy_Variables!P4+Multiple_Model!$B$24*Dummy_Variables!Q4+Multiple_Model!$B$25*Dummy_Variables!R4+Multiple_Model!$B$26*Dummy_Variables!S4+Multiple_Model!$B$27*Dummy_Variables!T4</f>
        <v>696169.95684235741</v>
      </c>
      <c r="G4" s="3">
        <f>E4-F4</f>
        <v>-17447.896842357353</v>
      </c>
      <c r="H4" s="3">
        <f>ABS(G4)</f>
        <v>17447.896842357353</v>
      </c>
      <c r="I4" t="str">
        <f>IF(G4&gt;0,"Under-predicted","Over-predicted")</f>
        <v>Over-predicted</v>
      </c>
      <c r="K4" t="s">
        <v>79</v>
      </c>
      <c r="L4" s="2">
        <v>45689</v>
      </c>
      <c r="M4" t="s">
        <v>15</v>
      </c>
      <c r="N4" s="3">
        <v>870937.4</v>
      </c>
      <c r="O4" s="3">
        <v>111017.46060448943</v>
      </c>
    </row>
    <row r="5" spans="1:15">
      <c r="A5" t="s">
        <v>14</v>
      </c>
      <c r="B5" s="2">
        <v>45748</v>
      </c>
      <c r="C5" t="s">
        <v>15</v>
      </c>
      <c r="D5" t="s">
        <v>16</v>
      </c>
      <c r="E5" s="3">
        <v>658920.30000000005</v>
      </c>
      <c r="F5" s="3">
        <f>Multiple_Model!$B$13+Multiple_Model!$B$14*Dummy_Variables!E5+Multiple_Model!$B$15*Dummy_Variables!F5+Multiple_Model!$B$16*Dummy_Variables!G5+Multiple_Model!$B$17*Dummy_Variables!I5+Multiple_Model!$B$18*Dummy_Variables!L5+Multiple_Model!$B$19*Dummy_Variables!H5+Multiple_Model!$B$20*Dummy_Variables!K5+Multiple_Model!$B$21*Dummy_Variables!J5+Multiple_Model!$B$22*Dummy_Variables!O5+Multiple_Model!$B$23*Dummy_Variables!P5+Multiple_Model!$B$24*Dummy_Variables!Q5+Multiple_Model!$B$25*Dummy_Variables!R5+Multiple_Model!$B$26*Dummy_Variables!S5+Multiple_Model!$B$27*Dummy_Variables!T5</f>
        <v>734611.65948172146</v>
      </c>
      <c r="G5" s="3">
        <f>E5-F5</f>
        <v>-75691.359481721418</v>
      </c>
      <c r="H5" s="3">
        <f>ABS(G5)</f>
        <v>75691.359481721418</v>
      </c>
      <c r="I5" t="str">
        <f>IF(G5&gt;0,"Under-predicted","Over-predicted")</f>
        <v>Over-predicted</v>
      </c>
      <c r="K5" t="s">
        <v>49</v>
      </c>
      <c r="L5" s="2">
        <v>45748</v>
      </c>
      <c r="M5" t="s">
        <v>15</v>
      </c>
      <c r="N5" s="3">
        <v>713611.16</v>
      </c>
      <c r="O5" s="3">
        <v>103079.2085010364</v>
      </c>
    </row>
    <row r="6" spans="1:15">
      <c r="A6" t="s">
        <v>17</v>
      </c>
      <c r="B6" s="2">
        <v>45658</v>
      </c>
      <c r="C6" t="s">
        <v>15</v>
      </c>
      <c r="D6" t="s">
        <v>18</v>
      </c>
      <c r="E6" s="3">
        <v>741341.44</v>
      </c>
      <c r="F6" s="3">
        <f>Multiple_Model!$B$13+Multiple_Model!$B$14*Dummy_Variables!E6+Multiple_Model!$B$15*Dummy_Variables!F6+Multiple_Model!$B$16*Dummy_Variables!G6+Multiple_Model!$B$17*Dummy_Variables!I6+Multiple_Model!$B$18*Dummy_Variables!L6+Multiple_Model!$B$19*Dummy_Variables!H6+Multiple_Model!$B$20*Dummy_Variables!K6+Multiple_Model!$B$21*Dummy_Variables!J6+Multiple_Model!$B$22*Dummy_Variables!O6+Multiple_Model!$B$23*Dummy_Variables!P6+Multiple_Model!$B$24*Dummy_Variables!Q6+Multiple_Model!$B$25*Dummy_Variables!R6+Multiple_Model!$B$26*Dummy_Variables!S6+Multiple_Model!$B$27*Dummy_Variables!T6</f>
        <v>788200.61590173538</v>
      </c>
      <c r="G6" s="3">
        <f>E6-F6</f>
        <v>-46859.175901735434</v>
      </c>
      <c r="H6" s="3">
        <f>ABS(G6)</f>
        <v>46859.175901735434</v>
      </c>
      <c r="I6" t="str">
        <f>IF(G6&gt;0,"Under-predicted","Over-predicted")</f>
        <v>Over-predicted</v>
      </c>
      <c r="K6" t="s">
        <v>94</v>
      </c>
      <c r="L6" s="2">
        <v>45717</v>
      </c>
      <c r="M6" t="s">
        <v>15</v>
      </c>
      <c r="N6" s="3">
        <v>813316.71</v>
      </c>
      <c r="O6" s="3">
        <v>91900.790073151235</v>
      </c>
    </row>
    <row r="7" spans="1:15">
      <c r="A7" t="s">
        <v>17</v>
      </c>
      <c r="B7" s="2">
        <v>45689</v>
      </c>
      <c r="C7" t="s">
        <v>15</v>
      </c>
      <c r="D7" t="s">
        <v>18</v>
      </c>
      <c r="E7" s="3">
        <v>761835.34</v>
      </c>
      <c r="F7" s="3">
        <f>Multiple_Model!$B$13+Multiple_Model!$B$14*Dummy_Variables!E7+Multiple_Model!$B$15*Dummy_Variables!F7+Multiple_Model!$B$16*Dummy_Variables!G7+Multiple_Model!$B$17*Dummy_Variables!I7+Multiple_Model!$B$18*Dummy_Variables!L7+Multiple_Model!$B$19*Dummy_Variables!H7+Multiple_Model!$B$20*Dummy_Variables!K7+Multiple_Model!$B$21*Dummy_Variables!J7+Multiple_Model!$B$22*Dummy_Variables!O7+Multiple_Model!$B$23*Dummy_Variables!P7+Multiple_Model!$B$24*Dummy_Variables!Q7+Multiple_Model!$B$25*Dummy_Variables!R7+Multiple_Model!$B$26*Dummy_Variables!S7+Multiple_Model!$B$27*Dummy_Variables!T7</f>
        <v>773961.10164909496</v>
      </c>
      <c r="G7" s="3">
        <f>E7-F7</f>
        <v>-12125.761649094988</v>
      </c>
      <c r="H7" s="3">
        <f>ABS(G7)</f>
        <v>12125.761649094988</v>
      </c>
      <c r="I7" t="str">
        <f>IF(G7&gt;0,"Under-predicted","Over-predicted")</f>
        <v>Over-predicted</v>
      </c>
      <c r="K7" t="s">
        <v>72</v>
      </c>
      <c r="L7" s="2">
        <v>45689</v>
      </c>
      <c r="M7" t="s">
        <v>15</v>
      </c>
      <c r="N7" s="3">
        <v>787715.51</v>
      </c>
      <c r="O7" s="3">
        <v>86334.173440737301</v>
      </c>
    </row>
    <row r="8" spans="1:15">
      <c r="A8" t="s">
        <v>17</v>
      </c>
      <c r="B8" s="2">
        <v>45717</v>
      </c>
      <c r="C8" t="s">
        <v>15</v>
      </c>
      <c r="D8" t="s">
        <v>18</v>
      </c>
      <c r="E8" s="3">
        <v>806615.54</v>
      </c>
      <c r="F8" s="3">
        <f>Multiple_Model!$B$13+Multiple_Model!$B$14*Dummy_Variables!E8+Multiple_Model!$B$15*Dummy_Variables!F8+Multiple_Model!$B$16*Dummy_Variables!G8+Multiple_Model!$B$17*Dummy_Variables!I8+Multiple_Model!$B$18*Dummy_Variables!L8+Multiple_Model!$B$19*Dummy_Variables!H8+Multiple_Model!$B$20*Dummy_Variables!K8+Multiple_Model!$B$21*Dummy_Variables!J8+Multiple_Model!$B$22*Dummy_Variables!O8+Multiple_Model!$B$23*Dummy_Variables!P8+Multiple_Model!$B$24*Dummy_Variables!Q8+Multiple_Model!$B$25*Dummy_Variables!R8+Multiple_Model!$B$26*Dummy_Variables!S8+Multiple_Model!$B$27*Dummy_Variables!T8</f>
        <v>806771.21393998549</v>
      </c>
      <c r="G8" s="3">
        <f>E8-F8</f>
        <v>-155.67393998545595</v>
      </c>
      <c r="H8" s="3">
        <f>ABS(G8)</f>
        <v>155.67393998545595</v>
      </c>
      <c r="I8" t="str">
        <f>IF(G8&gt;0,"Under-predicted","Over-predicted")</f>
        <v>Over-predicted</v>
      </c>
      <c r="K8" t="s">
        <v>47</v>
      </c>
      <c r="L8" s="2">
        <v>45748</v>
      </c>
      <c r="M8" t="s">
        <v>15</v>
      </c>
      <c r="N8" s="3">
        <v>625514.04</v>
      </c>
      <c r="O8" s="3">
        <v>85279.418753751786</v>
      </c>
    </row>
    <row r="9" spans="1:15">
      <c r="A9" t="s">
        <v>17</v>
      </c>
      <c r="B9" s="2">
        <v>45748</v>
      </c>
      <c r="C9" t="s">
        <v>15</v>
      </c>
      <c r="D9" t="s">
        <v>18</v>
      </c>
      <c r="E9" s="3">
        <v>850164.26</v>
      </c>
      <c r="F9" s="3">
        <f>Multiple_Model!$B$13+Multiple_Model!$B$14*Dummy_Variables!E9+Multiple_Model!$B$15*Dummy_Variables!F9+Multiple_Model!$B$16*Dummy_Variables!G9+Multiple_Model!$B$17*Dummy_Variables!I9+Multiple_Model!$B$18*Dummy_Variables!L9+Multiple_Model!$B$19*Dummy_Variables!H9+Multiple_Model!$B$20*Dummy_Variables!K9+Multiple_Model!$B$21*Dummy_Variables!J9+Multiple_Model!$B$22*Dummy_Variables!O9+Multiple_Model!$B$23*Dummy_Variables!P9+Multiple_Model!$B$24*Dummy_Variables!Q9+Multiple_Model!$B$25*Dummy_Variables!R9+Multiple_Model!$B$26*Dummy_Variables!S9+Multiple_Model!$B$27*Dummy_Variables!T9</f>
        <v>792726.34303029301</v>
      </c>
      <c r="G9" s="3">
        <f>E9-F9</f>
        <v>57437.916969707003</v>
      </c>
      <c r="H9" s="3">
        <f>ABS(G9)</f>
        <v>57437.916969707003</v>
      </c>
      <c r="I9" t="str">
        <f>IF(G9&gt;0,"Under-predicted","Over-predicted")</f>
        <v>Under-predicted</v>
      </c>
    </row>
    <row r="10" spans="1:15">
      <c r="A10" t="s">
        <v>19</v>
      </c>
      <c r="B10" s="2">
        <v>45658</v>
      </c>
      <c r="C10" t="s">
        <v>20</v>
      </c>
      <c r="D10" t="s">
        <v>21</v>
      </c>
      <c r="E10" s="3">
        <v>930581.7</v>
      </c>
      <c r="F10" s="3">
        <f>Multiple_Model!$B$13+Multiple_Model!$B$14*Dummy_Variables!E10+Multiple_Model!$B$15*Dummy_Variables!F10+Multiple_Model!$B$16*Dummy_Variables!G10+Multiple_Model!$B$17*Dummy_Variables!I10+Multiple_Model!$B$18*Dummy_Variables!L10+Multiple_Model!$B$19*Dummy_Variables!H10+Multiple_Model!$B$20*Dummy_Variables!K10+Multiple_Model!$B$21*Dummy_Variables!J10+Multiple_Model!$B$22*Dummy_Variables!O10+Multiple_Model!$B$23*Dummy_Variables!P10+Multiple_Model!$B$24*Dummy_Variables!Q10+Multiple_Model!$B$25*Dummy_Variables!R10+Multiple_Model!$B$26*Dummy_Variables!S10+Multiple_Model!$B$27*Dummy_Variables!T10</f>
        <v>873194.56682728033</v>
      </c>
      <c r="G10" s="3">
        <f>E10-F10</f>
        <v>57387.133172719623</v>
      </c>
      <c r="H10" s="3">
        <f>ABS(G10)</f>
        <v>57387.133172719623</v>
      </c>
      <c r="I10" t="str">
        <f>IF(G10&gt;0,"Under-predicted","Over-predicted")</f>
        <v>Under-predicted</v>
      </c>
      <c r="K10" s="1" t="s">
        <v>169</v>
      </c>
      <c r="L10" s="1" t="s">
        <v>165</v>
      </c>
      <c r="M10" s="1" t="s">
        <v>166</v>
      </c>
      <c r="N10" s="1" t="s">
        <v>167</v>
      </c>
      <c r="O10" s="1" t="s">
        <v>168</v>
      </c>
    </row>
    <row r="11" spans="1:15">
      <c r="A11" t="s">
        <v>19</v>
      </c>
      <c r="B11" s="2">
        <v>45689</v>
      </c>
      <c r="C11" t="s">
        <v>20</v>
      </c>
      <c r="D11" t="s">
        <v>21</v>
      </c>
      <c r="E11" s="3">
        <v>779010.94</v>
      </c>
      <c r="F11" s="3">
        <f>Multiple_Model!$B$13+Multiple_Model!$B$14*Dummy_Variables!E11+Multiple_Model!$B$15*Dummy_Variables!F11+Multiple_Model!$B$16*Dummy_Variables!G11+Multiple_Model!$B$17*Dummy_Variables!I11+Multiple_Model!$B$18*Dummy_Variables!L11+Multiple_Model!$B$19*Dummy_Variables!H11+Multiple_Model!$B$20*Dummy_Variables!K11+Multiple_Model!$B$21*Dummy_Variables!J11+Multiple_Model!$B$22*Dummy_Variables!O11+Multiple_Model!$B$23*Dummy_Variables!P11+Multiple_Model!$B$24*Dummy_Variables!Q11+Multiple_Model!$B$25*Dummy_Variables!R11+Multiple_Model!$B$26*Dummy_Variables!S11+Multiple_Model!$B$27*Dummy_Variables!T11</f>
        <v>808141.23092656583</v>
      </c>
      <c r="G11" s="3">
        <f>E11-F11</f>
        <v>-29130.290926565882</v>
      </c>
      <c r="H11" s="3">
        <f>ABS(G11)</f>
        <v>29130.290926565882</v>
      </c>
      <c r="I11" t="str">
        <f>IF(G11&gt;0,"Under-predicted","Over-predicted")</f>
        <v>Over-predicted</v>
      </c>
      <c r="K11" t="s">
        <v>44</v>
      </c>
      <c r="L11" s="2">
        <v>45689</v>
      </c>
      <c r="M11" t="s">
        <v>24</v>
      </c>
      <c r="N11" s="3">
        <v>627171.9</v>
      </c>
      <c r="O11" s="3">
        <v>-136866.81091177056</v>
      </c>
    </row>
    <row r="12" spans="1:15">
      <c r="A12" t="s">
        <v>19</v>
      </c>
      <c r="B12" s="2">
        <v>45717</v>
      </c>
      <c r="C12" t="s">
        <v>20</v>
      </c>
      <c r="D12" t="s">
        <v>21</v>
      </c>
      <c r="E12" s="3">
        <v>723060.76</v>
      </c>
      <c r="F12" s="3">
        <f>Multiple_Model!$B$13+Multiple_Model!$B$14*Dummy_Variables!E12+Multiple_Model!$B$15*Dummy_Variables!F12+Multiple_Model!$B$16*Dummy_Variables!G12+Multiple_Model!$B$17*Dummy_Variables!I12+Multiple_Model!$B$18*Dummy_Variables!L12+Multiple_Model!$B$19*Dummy_Variables!H12+Multiple_Model!$B$20*Dummy_Variables!K12+Multiple_Model!$B$21*Dummy_Variables!J12+Multiple_Model!$B$22*Dummy_Variables!O12+Multiple_Model!$B$23*Dummy_Variables!P12+Multiple_Model!$B$24*Dummy_Variables!Q12+Multiple_Model!$B$25*Dummy_Variables!R12+Multiple_Model!$B$26*Dummy_Variables!S12+Multiple_Model!$B$27*Dummy_Variables!T12</f>
        <v>754001.8804054386</v>
      </c>
      <c r="G12" s="3">
        <f>E12-F12</f>
        <v>-30941.120405438589</v>
      </c>
      <c r="H12" s="3">
        <f>ABS(G12)</f>
        <v>30941.120405438589</v>
      </c>
      <c r="I12" t="str">
        <f>IF(G12&gt;0,"Under-predicted","Over-predicted")</f>
        <v>Over-predicted</v>
      </c>
      <c r="K12" t="s">
        <v>38</v>
      </c>
      <c r="L12" s="2">
        <v>45717</v>
      </c>
      <c r="M12" t="s">
        <v>27</v>
      </c>
      <c r="N12" s="3">
        <v>685379.08</v>
      </c>
      <c r="O12" s="3">
        <v>-119900.77124378853</v>
      </c>
    </row>
    <row r="13" spans="1:15">
      <c r="A13" t="s">
        <v>19</v>
      </c>
      <c r="B13" s="2">
        <v>45748</v>
      </c>
      <c r="C13" t="s">
        <v>20</v>
      </c>
      <c r="D13" t="s">
        <v>21</v>
      </c>
      <c r="E13" s="3">
        <v>910791.94</v>
      </c>
      <c r="F13" s="3">
        <f>Multiple_Model!$B$13+Multiple_Model!$B$14*Dummy_Variables!E13+Multiple_Model!$B$15*Dummy_Variables!F13+Multiple_Model!$B$16*Dummy_Variables!G13+Multiple_Model!$B$17*Dummy_Variables!I13+Multiple_Model!$B$18*Dummy_Variables!L13+Multiple_Model!$B$19*Dummy_Variables!H13+Multiple_Model!$B$20*Dummy_Variables!K13+Multiple_Model!$B$21*Dummy_Variables!J13+Multiple_Model!$B$22*Dummy_Variables!O13+Multiple_Model!$B$23*Dummy_Variables!P13+Multiple_Model!$B$24*Dummy_Variables!Q13+Multiple_Model!$B$25*Dummy_Variables!R13+Multiple_Model!$B$26*Dummy_Variables!S13+Multiple_Model!$B$27*Dummy_Variables!T13</f>
        <v>867782.44794945046</v>
      </c>
      <c r="G13" s="3">
        <f>E13-F13</f>
        <v>43009.492050549481</v>
      </c>
      <c r="H13" s="3">
        <f>ABS(G13)</f>
        <v>43009.492050549481</v>
      </c>
      <c r="I13" t="str">
        <f>IF(G13&gt;0,"Under-predicted","Over-predicted")</f>
        <v>Under-predicted</v>
      </c>
      <c r="K13" t="s">
        <v>33</v>
      </c>
      <c r="L13" s="2">
        <v>45658</v>
      </c>
      <c r="M13" t="s">
        <v>27</v>
      </c>
      <c r="N13" s="3">
        <v>595467.6</v>
      </c>
      <c r="O13" s="3">
        <v>-114446.17550638458</v>
      </c>
    </row>
    <row r="14" spans="1:15">
      <c r="A14" t="s">
        <v>22</v>
      </c>
      <c r="B14" s="2">
        <v>45658</v>
      </c>
      <c r="C14" t="s">
        <v>15</v>
      </c>
      <c r="D14" t="s">
        <v>16</v>
      </c>
      <c r="E14" s="3">
        <v>922168.6</v>
      </c>
      <c r="F14" s="3">
        <f>Multiple_Model!$B$13+Multiple_Model!$B$14*Dummy_Variables!E14+Multiple_Model!$B$15*Dummy_Variables!F14+Multiple_Model!$B$16*Dummy_Variables!G14+Multiple_Model!$B$17*Dummy_Variables!I14+Multiple_Model!$B$18*Dummy_Variables!L14+Multiple_Model!$B$19*Dummy_Variables!H14+Multiple_Model!$B$20*Dummy_Variables!K14+Multiple_Model!$B$21*Dummy_Variables!J14+Multiple_Model!$B$22*Dummy_Variables!O14+Multiple_Model!$B$23*Dummy_Variables!P14+Multiple_Model!$B$24*Dummy_Variables!Q14+Multiple_Model!$B$25*Dummy_Variables!R14+Multiple_Model!$B$26*Dummy_Variables!S14+Multiple_Model!$B$27*Dummy_Variables!T14</f>
        <v>881520.79428463546</v>
      </c>
      <c r="G14" s="3">
        <f>E14-F14</f>
        <v>40647.80571536452</v>
      </c>
      <c r="H14" s="3">
        <f>ABS(G14)</f>
        <v>40647.80571536452</v>
      </c>
      <c r="I14" t="str">
        <f>IF(G14&gt;0,"Under-predicted","Over-predicted")</f>
        <v>Under-predicted</v>
      </c>
      <c r="K14" t="s">
        <v>26</v>
      </c>
      <c r="L14" s="2">
        <v>45689</v>
      </c>
      <c r="M14" t="s">
        <v>27</v>
      </c>
      <c r="N14" s="3">
        <v>800451.94</v>
      </c>
      <c r="O14" s="3">
        <v>-111892.93044931022</v>
      </c>
    </row>
    <row r="15" spans="1:15">
      <c r="A15" t="s">
        <v>22</v>
      </c>
      <c r="B15" s="2">
        <v>45689</v>
      </c>
      <c r="C15" t="s">
        <v>15</v>
      </c>
      <c r="D15" t="s">
        <v>16</v>
      </c>
      <c r="E15" s="3">
        <v>726606.28</v>
      </c>
      <c r="F15" s="3">
        <f>Multiple_Model!$B$13+Multiple_Model!$B$14*Dummy_Variables!E15+Multiple_Model!$B$15*Dummy_Variables!F15+Multiple_Model!$B$16*Dummy_Variables!G15+Multiple_Model!$B$17*Dummy_Variables!I15+Multiple_Model!$B$18*Dummy_Variables!L15+Multiple_Model!$B$19*Dummy_Variables!H15+Multiple_Model!$B$20*Dummy_Variables!K15+Multiple_Model!$B$21*Dummy_Variables!J15+Multiple_Model!$B$22*Dummy_Variables!O15+Multiple_Model!$B$23*Dummy_Variables!P15+Multiple_Model!$B$24*Dummy_Variables!Q15+Multiple_Model!$B$25*Dummy_Variables!R15+Multiple_Model!$B$26*Dummy_Variables!S15+Multiple_Model!$B$27*Dummy_Variables!T15</f>
        <v>772183.54335886403</v>
      </c>
      <c r="G15" s="3">
        <f>E15-F15</f>
        <v>-45577.263358864002</v>
      </c>
      <c r="H15" s="3">
        <f>ABS(G15)</f>
        <v>45577.263358864002</v>
      </c>
      <c r="I15" t="str">
        <f>IF(G15&gt;0,"Under-predicted","Over-predicted")</f>
        <v>Over-predicted</v>
      </c>
      <c r="K15" t="s">
        <v>81</v>
      </c>
      <c r="L15" s="2">
        <v>45658</v>
      </c>
      <c r="M15" t="s">
        <v>27</v>
      </c>
      <c r="N15" s="3">
        <v>721079.35</v>
      </c>
      <c r="O15" s="3">
        <v>-86942.359349796781</v>
      </c>
    </row>
    <row r="16" spans="1:15">
      <c r="A16" t="s">
        <v>22</v>
      </c>
      <c r="B16" s="2">
        <v>45717</v>
      </c>
      <c r="C16" t="s">
        <v>15</v>
      </c>
      <c r="D16" t="s">
        <v>16</v>
      </c>
      <c r="E16" s="3">
        <v>746501.09</v>
      </c>
      <c r="F16" s="3">
        <f>Multiple_Model!$B$13+Multiple_Model!$B$14*Dummy_Variables!E16+Multiple_Model!$B$15*Dummy_Variables!F16+Multiple_Model!$B$16*Dummy_Variables!G16+Multiple_Model!$B$17*Dummy_Variables!I16+Multiple_Model!$B$18*Dummy_Variables!L16+Multiple_Model!$B$19*Dummy_Variables!H16+Multiple_Model!$B$20*Dummy_Variables!K16+Multiple_Model!$B$21*Dummy_Variables!J16+Multiple_Model!$B$22*Dummy_Variables!O16+Multiple_Model!$B$23*Dummy_Variables!P16+Multiple_Model!$B$24*Dummy_Variables!Q16+Multiple_Model!$B$25*Dummy_Variables!R16+Multiple_Model!$B$26*Dummy_Variables!S16+Multiple_Model!$B$27*Dummy_Variables!T16</f>
        <v>753342.13665185124</v>
      </c>
      <c r="G16" s="3">
        <f>E16-F16</f>
        <v>-6841.0466518512694</v>
      </c>
      <c r="H16" s="3">
        <f>ABS(G16)</f>
        <v>6841.0466518512694</v>
      </c>
      <c r="I16" t="str">
        <f>IF(G16&gt;0,"Under-predicted","Over-predicted")</f>
        <v>Over-predicted</v>
      </c>
    </row>
    <row r="17" spans="1:9">
      <c r="A17" t="s">
        <v>22</v>
      </c>
      <c r="B17" s="2">
        <v>45748</v>
      </c>
      <c r="C17" t="s">
        <v>15</v>
      </c>
      <c r="D17" t="s">
        <v>16</v>
      </c>
      <c r="E17" s="3">
        <v>834017.02</v>
      </c>
      <c r="F17" s="3">
        <f>Multiple_Model!$B$13+Multiple_Model!$B$14*Dummy_Variables!E17+Multiple_Model!$B$15*Dummy_Variables!F17+Multiple_Model!$B$16*Dummy_Variables!G17+Multiple_Model!$B$17*Dummy_Variables!I17+Multiple_Model!$B$18*Dummy_Variables!L17+Multiple_Model!$B$19*Dummy_Variables!H17+Multiple_Model!$B$20*Dummy_Variables!K17+Multiple_Model!$B$21*Dummy_Variables!J17+Multiple_Model!$B$22*Dummy_Variables!O17+Multiple_Model!$B$23*Dummy_Variables!P17+Multiple_Model!$B$24*Dummy_Variables!Q17+Multiple_Model!$B$25*Dummy_Variables!R17+Multiple_Model!$B$26*Dummy_Variables!S17+Multiple_Model!$B$27*Dummy_Variables!T17</f>
        <v>808780.82507397339</v>
      </c>
      <c r="G17" s="3">
        <f>E17-F17</f>
        <v>25236.194926026626</v>
      </c>
      <c r="H17" s="3">
        <f>ABS(G17)</f>
        <v>25236.194926026626</v>
      </c>
      <c r="I17" t="str">
        <f>IF(G17&gt;0,"Under-predicted","Over-predicted")</f>
        <v>Under-predicted</v>
      </c>
    </row>
    <row r="18" spans="1:9">
      <c r="A18" t="s">
        <v>23</v>
      </c>
      <c r="B18" s="2">
        <v>45658</v>
      </c>
      <c r="C18" t="s">
        <v>24</v>
      </c>
      <c r="D18" t="s">
        <v>16</v>
      </c>
      <c r="E18" s="3">
        <v>666152.52</v>
      </c>
      <c r="F18" s="3">
        <f>Multiple_Model!$B$13+Multiple_Model!$B$14*Dummy_Variables!E18+Multiple_Model!$B$15*Dummy_Variables!F18+Multiple_Model!$B$16*Dummy_Variables!G18+Multiple_Model!$B$17*Dummy_Variables!I18+Multiple_Model!$B$18*Dummy_Variables!L18+Multiple_Model!$B$19*Dummy_Variables!H18+Multiple_Model!$B$20*Dummy_Variables!K18+Multiple_Model!$B$21*Dummy_Variables!J18+Multiple_Model!$B$22*Dummy_Variables!O18+Multiple_Model!$B$23*Dummy_Variables!P18+Multiple_Model!$B$24*Dummy_Variables!Q18+Multiple_Model!$B$25*Dummy_Variables!R18+Multiple_Model!$B$26*Dummy_Variables!S18+Multiple_Model!$B$27*Dummy_Variables!T18</f>
        <v>677740.88775832299</v>
      </c>
      <c r="G18" s="3">
        <f>E18-F18</f>
        <v>-11588.367758322973</v>
      </c>
      <c r="H18" s="3">
        <f>ABS(G18)</f>
        <v>11588.367758322973</v>
      </c>
      <c r="I18" t="str">
        <f>IF(G18&gt;0,"Under-predicted","Over-predicted")</f>
        <v>Over-predicted</v>
      </c>
    </row>
    <row r="19" spans="1:9">
      <c r="A19" t="s">
        <v>23</v>
      </c>
      <c r="B19" s="2">
        <v>45689</v>
      </c>
      <c r="C19" t="s">
        <v>24</v>
      </c>
      <c r="D19" t="s">
        <v>16</v>
      </c>
      <c r="E19" s="3">
        <v>573155.18999999994</v>
      </c>
      <c r="F19" s="3">
        <f>Multiple_Model!$B$13+Multiple_Model!$B$14*Dummy_Variables!E19+Multiple_Model!$B$15*Dummy_Variables!F19+Multiple_Model!$B$16*Dummy_Variables!G19+Multiple_Model!$B$17*Dummy_Variables!I19+Multiple_Model!$B$18*Dummy_Variables!L19+Multiple_Model!$B$19*Dummy_Variables!H19+Multiple_Model!$B$20*Dummy_Variables!K19+Multiple_Model!$B$21*Dummy_Variables!J19+Multiple_Model!$B$22*Dummy_Variables!O19+Multiple_Model!$B$23*Dummy_Variables!P19+Multiple_Model!$B$24*Dummy_Variables!Q19+Multiple_Model!$B$25*Dummy_Variables!R19+Multiple_Model!$B$26*Dummy_Variables!S19+Multiple_Model!$B$27*Dummy_Variables!T19</f>
        <v>576940.77255697921</v>
      </c>
      <c r="G19" s="3">
        <f>E19-F19</f>
        <v>-3785.5825569792651</v>
      </c>
      <c r="H19" s="3">
        <f>ABS(G19)</f>
        <v>3785.5825569792651</v>
      </c>
      <c r="I19" t="str">
        <f>IF(G19&gt;0,"Under-predicted","Over-predicted")</f>
        <v>Over-predicted</v>
      </c>
    </row>
    <row r="20" spans="1:9">
      <c r="A20" t="s">
        <v>23</v>
      </c>
      <c r="B20" s="2">
        <v>45717</v>
      </c>
      <c r="C20" t="s">
        <v>24</v>
      </c>
      <c r="D20" t="s">
        <v>16</v>
      </c>
      <c r="E20" s="3">
        <v>666573.19999999995</v>
      </c>
      <c r="F20" s="3">
        <f>Multiple_Model!$B$13+Multiple_Model!$B$14*Dummy_Variables!E20+Multiple_Model!$B$15*Dummy_Variables!F20+Multiple_Model!$B$16*Dummy_Variables!G20+Multiple_Model!$B$17*Dummy_Variables!I20+Multiple_Model!$B$18*Dummy_Variables!L20+Multiple_Model!$B$19*Dummy_Variables!H20+Multiple_Model!$B$20*Dummy_Variables!K20+Multiple_Model!$B$21*Dummy_Variables!J20+Multiple_Model!$B$22*Dummy_Variables!O20+Multiple_Model!$B$23*Dummy_Variables!P20+Multiple_Model!$B$24*Dummy_Variables!Q20+Multiple_Model!$B$25*Dummy_Variables!R20+Multiple_Model!$B$26*Dummy_Variables!S20+Multiple_Model!$B$27*Dummy_Variables!T20</f>
        <v>698360.73357282137</v>
      </c>
      <c r="G20" s="3">
        <f>E20-F20</f>
        <v>-31787.533572821412</v>
      </c>
      <c r="H20" s="3">
        <f>ABS(G20)</f>
        <v>31787.533572821412</v>
      </c>
      <c r="I20" t="str">
        <f>IF(G20&gt;0,"Under-predicted","Over-predicted")</f>
        <v>Over-predicted</v>
      </c>
    </row>
    <row r="21" spans="1:9">
      <c r="A21" t="s">
        <v>23</v>
      </c>
      <c r="B21" s="2">
        <v>45748</v>
      </c>
      <c r="C21" t="s">
        <v>24</v>
      </c>
      <c r="D21" t="s">
        <v>16</v>
      </c>
      <c r="E21" s="3">
        <v>591619.94999999995</v>
      </c>
      <c r="F21" s="3">
        <f>Multiple_Model!$B$13+Multiple_Model!$B$14*Dummy_Variables!E21+Multiple_Model!$B$15*Dummy_Variables!F21+Multiple_Model!$B$16*Dummy_Variables!G21+Multiple_Model!$B$17*Dummy_Variables!I21+Multiple_Model!$B$18*Dummy_Variables!L21+Multiple_Model!$B$19*Dummy_Variables!H21+Multiple_Model!$B$20*Dummy_Variables!K21+Multiple_Model!$B$21*Dummy_Variables!J21+Multiple_Model!$B$22*Dummy_Variables!O21+Multiple_Model!$B$23*Dummy_Variables!P21+Multiple_Model!$B$24*Dummy_Variables!Q21+Multiple_Model!$B$25*Dummy_Variables!R21+Multiple_Model!$B$26*Dummy_Variables!S21+Multiple_Model!$B$27*Dummy_Variables!T21</f>
        <v>614175.90393490158</v>
      </c>
      <c r="G21" s="3">
        <f>E21-F21</f>
        <v>-22555.953934901627</v>
      </c>
      <c r="H21" s="3">
        <f>ABS(G21)</f>
        <v>22555.953934901627</v>
      </c>
      <c r="I21" t="str">
        <f>IF(G21&gt;0,"Under-predicted","Over-predicted")</f>
        <v>Over-predicted</v>
      </c>
    </row>
    <row r="22" spans="1:9">
      <c r="A22" t="s">
        <v>25</v>
      </c>
      <c r="B22" s="2">
        <v>45658</v>
      </c>
      <c r="C22" t="s">
        <v>20</v>
      </c>
      <c r="D22" t="s">
        <v>16</v>
      </c>
      <c r="E22" s="3">
        <v>415721.82</v>
      </c>
      <c r="F22" s="3">
        <f>Multiple_Model!$B$13+Multiple_Model!$B$14*Dummy_Variables!E22+Multiple_Model!$B$15*Dummy_Variables!F22+Multiple_Model!$B$16*Dummy_Variables!G22+Multiple_Model!$B$17*Dummy_Variables!I22+Multiple_Model!$B$18*Dummy_Variables!L22+Multiple_Model!$B$19*Dummy_Variables!H22+Multiple_Model!$B$20*Dummy_Variables!K22+Multiple_Model!$B$21*Dummy_Variables!J22+Multiple_Model!$B$22*Dummy_Variables!O22+Multiple_Model!$B$23*Dummy_Variables!P22+Multiple_Model!$B$24*Dummy_Variables!Q22+Multiple_Model!$B$25*Dummy_Variables!R22+Multiple_Model!$B$26*Dummy_Variables!S22+Multiple_Model!$B$27*Dummy_Variables!T22</f>
        <v>485820.74732566345</v>
      </c>
      <c r="G22" s="3">
        <f>E22-F22</f>
        <v>-70098.927325663448</v>
      </c>
      <c r="H22" s="3">
        <f>ABS(G22)</f>
        <v>70098.927325663448</v>
      </c>
      <c r="I22" t="str">
        <f>IF(G22&gt;0,"Under-predicted","Over-predicted")</f>
        <v>Over-predicted</v>
      </c>
    </row>
    <row r="23" spans="1:9">
      <c r="A23" t="s">
        <v>25</v>
      </c>
      <c r="B23" s="2">
        <v>45689</v>
      </c>
      <c r="C23" t="s">
        <v>20</v>
      </c>
      <c r="D23" t="s">
        <v>16</v>
      </c>
      <c r="E23" s="3">
        <v>491905.13</v>
      </c>
      <c r="F23" s="3">
        <f>Multiple_Model!$B$13+Multiple_Model!$B$14*Dummy_Variables!E23+Multiple_Model!$B$15*Dummy_Variables!F23+Multiple_Model!$B$16*Dummy_Variables!G23+Multiple_Model!$B$17*Dummy_Variables!I23+Multiple_Model!$B$18*Dummy_Variables!L23+Multiple_Model!$B$19*Dummy_Variables!H23+Multiple_Model!$B$20*Dummy_Variables!K23+Multiple_Model!$B$21*Dummy_Variables!J23+Multiple_Model!$B$22*Dummy_Variables!O23+Multiple_Model!$B$23*Dummy_Variables!P23+Multiple_Model!$B$24*Dummy_Variables!Q23+Multiple_Model!$B$25*Dummy_Variables!R23+Multiple_Model!$B$26*Dummy_Variables!S23+Multiple_Model!$B$27*Dummy_Variables!T23</f>
        <v>503781.97508276172</v>
      </c>
      <c r="G23" s="3">
        <f>E23-F23</f>
        <v>-11876.84508276172</v>
      </c>
      <c r="H23" s="3">
        <f>ABS(G23)</f>
        <v>11876.84508276172</v>
      </c>
      <c r="I23" t="str">
        <f>IF(G23&gt;0,"Under-predicted","Over-predicted")</f>
        <v>Over-predicted</v>
      </c>
    </row>
    <row r="24" spans="1:9">
      <c r="A24" t="s">
        <v>25</v>
      </c>
      <c r="B24" s="2">
        <v>45717</v>
      </c>
      <c r="C24" t="s">
        <v>20</v>
      </c>
      <c r="D24" t="s">
        <v>16</v>
      </c>
      <c r="E24" s="3">
        <v>555929.4</v>
      </c>
      <c r="F24" s="3">
        <f>Multiple_Model!$B$13+Multiple_Model!$B$14*Dummy_Variables!E24+Multiple_Model!$B$15*Dummy_Variables!F24+Multiple_Model!$B$16*Dummy_Variables!G24+Multiple_Model!$B$17*Dummy_Variables!I24+Multiple_Model!$B$18*Dummy_Variables!L24+Multiple_Model!$B$19*Dummy_Variables!H24+Multiple_Model!$B$20*Dummy_Variables!K24+Multiple_Model!$B$21*Dummy_Variables!J24+Multiple_Model!$B$22*Dummy_Variables!O24+Multiple_Model!$B$23*Dummy_Variables!P24+Multiple_Model!$B$24*Dummy_Variables!Q24+Multiple_Model!$B$25*Dummy_Variables!R24+Multiple_Model!$B$26*Dummy_Variables!S24+Multiple_Model!$B$27*Dummy_Variables!T24</f>
        <v>551949.20250083017</v>
      </c>
      <c r="G24" s="3">
        <f>E24-F24</f>
        <v>3980.1974991698517</v>
      </c>
      <c r="H24" s="3">
        <f>ABS(G24)</f>
        <v>3980.1974991698517</v>
      </c>
      <c r="I24" t="str">
        <f>IF(G24&gt;0,"Under-predicted","Over-predicted")</f>
        <v>Under-predicted</v>
      </c>
    </row>
    <row r="25" spans="1:9">
      <c r="A25" t="s">
        <v>25</v>
      </c>
      <c r="B25" s="2">
        <v>45748</v>
      </c>
      <c r="C25" t="s">
        <v>20</v>
      </c>
      <c r="D25" t="s">
        <v>16</v>
      </c>
      <c r="E25" s="3">
        <v>565810.99</v>
      </c>
      <c r="F25" s="3">
        <f>Multiple_Model!$B$13+Multiple_Model!$B$14*Dummy_Variables!E25+Multiple_Model!$B$15*Dummy_Variables!F25+Multiple_Model!$B$16*Dummy_Variables!G25+Multiple_Model!$B$17*Dummy_Variables!I25+Multiple_Model!$B$18*Dummy_Variables!L25+Multiple_Model!$B$19*Dummy_Variables!H25+Multiple_Model!$B$20*Dummy_Variables!K25+Multiple_Model!$B$21*Dummy_Variables!J25+Multiple_Model!$B$22*Dummy_Variables!O25+Multiple_Model!$B$23*Dummy_Variables!P25+Multiple_Model!$B$24*Dummy_Variables!Q25+Multiple_Model!$B$25*Dummy_Variables!R25+Multiple_Model!$B$26*Dummy_Variables!S25+Multiple_Model!$B$27*Dummy_Variables!T25</f>
        <v>566778.16114203259</v>
      </c>
      <c r="G25" s="3">
        <f>E25-F25</f>
        <v>-967.1711420326028</v>
      </c>
      <c r="H25" s="3">
        <f>ABS(G25)</f>
        <v>967.1711420326028</v>
      </c>
      <c r="I25" t="str">
        <f>IF(G25&gt;0,"Under-predicted","Over-predicted")</f>
        <v>Over-predicted</v>
      </c>
    </row>
    <row r="26" spans="1:9">
      <c r="A26" t="s">
        <v>26</v>
      </c>
      <c r="B26" s="2">
        <v>45658</v>
      </c>
      <c r="C26" t="s">
        <v>27</v>
      </c>
      <c r="D26" t="s">
        <v>28</v>
      </c>
      <c r="E26" s="3">
        <v>811771.14</v>
      </c>
      <c r="F26" s="3">
        <f>Multiple_Model!$B$13+Multiple_Model!$B$14*Dummy_Variables!E26+Multiple_Model!$B$15*Dummy_Variables!F26+Multiple_Model!$B$16*Dummy_Variables!G26+Multiple_Model!$B$17*Dummy_Variables!I26+Multiple_Model!$B$18*Dummy_Variables!L26+Multiple_Model!$B$19*Dummy_Variables!H26+Multiple_Model!$B$20*Dummy_Variables!K26+Multiple_Model!$B$21*Dummy_Variables!J26+Multiple_Model!$B$22*Dummy_Variables!O26+Multiple_Model!$B$23*Dummy_Variables!P26+Multiple_Model!$B$24*Dummy_Variables!Q26+Multiple_Model!$B$25*Dummy_Variables!R26+Multiple_Model!$B$26*Dummy_Variables!S26+Multiple_Model!$B$27*Dummy_Variables!T26</f>
        <v>855398.69525173213</v>
      </c>
      <c r="G26" s="3">
        <f>E26-F26</f>
        <v>-43627.555251732119</v>
      </c>
      <c r="H26" s="3">
        <f>ABS(G26)</f>
        <v>43627.555251732119</v>
      </c>
      <c r="I26" t="str">
        <f>IF(G26&gt;0,"Under-predicted","Over-predicted")</f>
        <v>Over-predicted</v>
      </c>
    </row>
    <row r="27" spans="1:9">
      <c r="A27" t="s">
        <v>26</v>
      </c>
      <c r="B27" s="2">
        <v>45689</v>
      </c>
      <c r="C27" t="s">
        <v>27</v>
      </c>
      <c r="D27" t="s">
        <v>28</v>
      </c>
      <c r="E27" s="3">
        <v>800451.94</v>
      </c>
      <c r="F27" s="3">
        <f>Multiple_Model!$B$13+Multiple_Model!$B$14*Dummy_Variables!E27+Multiple_Model!$B$15*Dummy_Variables!F27+Multiple_Model!$B$16*Dummy_Variables!G27+Multiple_Model!$B$17*Dummy_Variables!I27+Multiple_Model!$B$18*Dummy_Variables!L27+Multiple_Model!$B$19*Dummy_Variables!H27+Multiple_Model!$B$20*Dummy_Variables!K27+Multiple_Model!$B$21*Dummy_Variables!J27+Multiple_Model!$B$22*Dummy_Variables!O27+Multiple_Model!$B$23*Dummy_Variables!P27+Multiple_Model!$B$24*Dummy_Variables!Q27+Multiple_Model!$B$25*Dummy_Variables!R27+Multiple_Model!$B$26*Dummy_Variables!S27+Multiple_Model!$B$27*Dummy_Variables!T27</f>
        <v>912344.87044931017</v>
      </c>
      <c r="G27" s="3">
        <f>E27-F27</f>
        <v>-111892.93044931022</v>
      </c>
      <c r="H27" s="3">
        <f>ABS(G27)</f>
        <v>111892.93044931022</v>
      </c>
      <c r="I27" t="str">
        <f>IF(G27&gt;0,"Under-predicted","Over-predicted")</f>
        <v>Over-predicted</v>
      </c>
    </row>
    <row r="28" spans="1:9">
      <c r="A28" t="s">
        <v>26</v>
      </c>
      <c r="B28" s="2">
        <v>45717</v>
      </c>
      <c r="C28" t="s">
        <v>27</v>
      </c>
      <c r="D28" t="s">
        <v>28</v>
      </c>
      <c r="E28" s="3">
        <v>783672.82</v>
      </c>
      <c r="F28" s="3">
        <f>Multiple_Model!$B$13+Multiple_Model!$B$14*Dummy_Variables!E28+Multiple_Model!$B$15*Dummy_Variables!F28+Multiple_Model!$B$16*Dummy_Variables!G28+Multiple_Model!$B$17*Dummy_Variables!I28+Multiple_Model!$B$18*Dummy_Variables!L28+Multiple_Model!$B$19*Dummy_Variables!H28+Multiple_Model!$B$20*Dummy_Variables!K28+Multiple_Model!$B$21*Dummy_Variables!J28+Multiple_Model!$B$22*Dummy_Variables!O28+Multiple_Model!$B$23*Dummy_Variables!P28+Multiple_Model!$B$24*Dummy_Variables!Q28+Multiple_Model!$B$25*Dummy_Variables!R28+Multiple_Model!$B$26*Dummy_Variables!S28+Multiple_Model!$B$27*Dummy_Variables!T28</f>
        <v>809452.16005238402</v>
      </c>
      <c r="G28" s="3">
        <f>E28-F28</f>
        <v>-25779.340052384068</v>
      </c>
      <c r="H28" s="3">
        <f>ABS(G28)</f>
        <v>25779.340052384068</v>
      </c>
      <c r="I28" t="str">
        <f>IF(G28&gt;0,"Under-predicted","Over-predicted")</f>
        <v>Over-predicted</v>
      </c>
    </row>
    <row r="29" spans="1:9">
      <c r="A29" t="s">
        <v>26</v>
      </c>
      <c r="B29" s="2">
        <v>45748</v>
      </c>
      <c r="C29" t="s">
        <v>27</v>
      </c>
      <c r="D29" t="s">
        <v>28</v>
      </c>
      <c r="E29" s="3">
        <v>701641.97</v>
      </c>
      <c r="F29" s="3">
        <f>Multiple_Model!$B$13+Multiple_Model!$B$14*Dummy_Variables!E29+Multiple_Model!$B$15*Dummy_Variables!F29+Multiple_Model!$B$16*Dummy_Variables!G29+Multiple_Model!$B$17*Dummy_Variables!I29+Multiple_Model!$B$18*Dummy_Variables!L29+Multiple_Model!$B$19*Dummy_Variables!H29+Multiple_Model!$B$20*Dummy_Variables!K29+Multiple_Model!$B$21*Dummy_Variables!J29+Multiple_Model!$B$22*Dummy_Variables!O29+Multiple_Model!$B$23*Dummy_Variables!P29+Multiple_Model!$B$24*Dummy_Variables!Q29+Multiple_Model!$B$25*Dummy_Variables!R29+Multiple_Model!$B$26*Dummy_Variables!S29+Multiple_Model!$B$27*Dummy_Variables!T29</f>
        <v>660679.55161702877</v>
      </c>
      <c r="G29" s="3">
        <f>E29-F29</f>
        <v>40962.418382971198</v>
      </c>
      <c r="H29" s="3">
        <f>ABS(G29)</f>
        <v>40962.418382971198</v>
      </c>
      <c r="I29" t="str">
        <f>IF(G29&gt;0,"Under-predicted","Over-predicted")</f>
        <v>Under-predicted</v>
      </c>
    </row>
    <row r="30" spans="1:9">
      <c r="A30" t="s">
        <v>29</v>
      </c>
      <c r="B30" s="2">
        <v>45658</v>
      </c>
      <c r="C30" t="s">
        <v>15</v>
      </c>
      <c r="D30" t="s">
        <v>16</v>
      </c>
      <c r="E30" s="3">
        <v>511844.41</v>
      </c>
      <c r="F30" s="3">
        <f>Multiple_Model!$B$13+Multiple_Model!$B$14*Dummy_Variables!E30+Multiple_Model!$B$15*Dummy_Variables!F30+Multiple_Model!$B$16*Dummy_Variables!G30+Multiple_Model!$B$17*Dummy_Variables!I30+Multiple_Model!$B$18*Dummy_Variables!L30+Multiple_Model!$B$19*Dummy_Variables!H30+Multiple_Model!$B$20*Dummy_Variables!K30+Multiple_Model!$B$21*Dummy_Variables!J30+Multiple_Model!$B$22*Dummy_Variables!O30+Multiple_Model!$B$23*Dummy_Variables!P30+Multiple_Model!$B$24*Dummy_Variables!Q30+Multiple_Model!$B$25*Dummy_Variables!R30+Multiple_Model!$B$26*Dummy_Variables!S30+Multiple_Model!$B$27*Dummy_Variables!T30</f>
        <v>570792.52316620352</v>
      </c>
      <c r="G30" s="3">
        <f>E30-F30</f>
        <v>-58948.113166203548</v>
      </c>
      <c r="H30" s="3">
        <f>ABS(G30)</f>
        <v>58948.113166203548</v>
      </c>
      <c r="I30" t="str">
        <f>IF(G30&gt;0,"Under-predicted","Over-predicted")</f>
        <v>Over-predicted</v>
      </c>
    </row>
    <row r="31" spans="1:9">
      <c r="A31" t="s">
        <v>29</v>
      </c>
      <c r="B31" s="2">
        <v>45689</v>
      </c>
      <c r="C31" t="s">
        <v>15</v>
      </c>
      <c r="D31" t="s">
        <v>16</v>
      </c>
      <c r="E31" s="3">
        <v>537383.79</v>
      </c>
      <c r="F31" s="3">
        <f>Multiple_Model!$B$13+Multiple_Model!$B$14*Dummy_Variables!E31+Multiple_Model!$B$15*Dummy_Variables!F31+Multiple_Model!$B$16*Dummy_Variables!G31+Multiple_Model!$B$17*Dummy_Variables!I31+Multiple_Model!$B$18*Dummy_Variables!L31+Multiple_Model!$B$19*Dummy_Variables!H31+Multiple_Model!$B$20*Dummy_Variables!K31+Multiple_Model!$B$21*Dummy_Variables!J31+Multiple_Model!$B$22*Dummy_Variables!O31+Multiple_Model!$B$23*Dummy_Variables!P31+Multiple_Model!$B$24*Dummy_Variables!Q31+Multiple_Model!$B$25*Dummy_Variables!R31+Multiple_Model!$B$26*Dummy_Variables!S31+Multiple_Model!$B$27*Dummy_Variables!T31</f>
        <v>511720.8701882881</v>
      </c>
      <c r="G31" s="3">
        <f>E31-F31</f>
        <v>25662.919811711938</v>
      </c>
      <c r="H31" s="3">
        <f>ABS(G31)</f>
        <v>25662.919811711938</v>
      </c>
      <c r="I31" t="str">
        <f>IF(G31&gt;0,"Under-predicted","Over-predicted")</f>
        <v>Under-predicted</v>
      </c>
    </row>
    <row r="32" spans="1:9">
      <c r="A32" t="s">
        <v>29</v>
      </c>
      <c r="B32" s="2">
        <v>45717</v>
      </c>
      <c r="C32" t="s">
        <v>15</v>
      </c>
      <c r="D32" t="s">
        <v>16</v>
      </c>
      <c r="E32" s="3">
        <v>500173.02</v>
      </c>
      <c r="F32" s="3">
        <f>Multiple_Model!$B$13+Multiple_Model!$B$14*Dummy_Variables!E32+Multiple_Model!$B$15*Dummy_Variables!F32+Multiple_Model!$B$16*Dummy_Variables!G32+Multiple_Model!$B$17*Dummy_Variables!I32+Multiple_Model!$B$18*Dummy_Variables!L32+Multiple_Model!$B$19*Dummy_Variables!H32+Multiple_Model!$B$20*Dummy_Variables!K32+Multiple_Model!$B$21*Dummy_Variables!J32+Multiple_Model!$B$22*Dummy_Variables!O32+Multiple_Model!$B$23*Dummy_Variables!P32+Multiple_Model!$B$24*Dummy_Variables!Q32+Multiple_Model!$B$25*Dummy_Variables!R32+Multiple_Model!$B$26*Dummy_Variables!S32+Multiple_Model!$B$27*Dummy_Variables!T32</f>
        <v>515908.90135796613</v>
      </c>
      <c r="G32" s="3">
        <f>E32-F32</f>
        <v>-15735.881357966107</v>
      </c>
      <c r="H32" s="3">
        <f>ABS(G32)</f>
        <v>15735.881357966107</v>
      </c>
      <c r="I32" t="str">
        <f>IF(G32&gt;0,"Under-predicted","Over-predicted")</f>
        <v>Over-predicted</v>
      </c>
    </row>
    <row r="33" spans="1:9">
      <c r="A33" t="s">
        <v>29</v>
      </c>
      <c r="B33" s="2">
        <v>45748</v>
      </c>
      <c r="C33" t="s">
        <v>15</v>
      </c>
      <c r="D33" t="s">
        <v>16</v>
      </c>
      <c r="E33" s="3">
        <v>427917.38</v>
      </c>
      <c r="F33" s="3">
        <f>Multiple_Model!$B$13+Multiple_Model!$B$14*Dummy_Variables!E33+Multiple_Model!$B$15*Dummy_Variables!F33+Multiple_Model!$B$16*Dummy_Variables!G33+Multiple_Model!$B$17*Dummy_Variables!I33+Multiple_Model!$B$18*Dummy_Variables!L33+Multiple_Model!$B$19*Dummy_Variables!H33+Multiple_Model!$B$20*Dummy_Variables!K33+Multiple_Model!$B$21*Dummy_Variables!J33+Multiple_Model!$B$22*Dummy_Variables!O33+Multiple_Model!$B$23*Dummy_Variables!P33+Multiple_Model!$B$24*Dummy_Variables!Q33+Multiple_Model!$B$25*Dummy_Variables!R33+Multiple_Model!$B$26*Dummy_Variables!S33+Multiple_Model!$B$27*Dummy_Variables!T33</f>
        <v>441807.1873291657</v>
      </c>
      <c r="G33" s="3">
        <f>E33-F33</f>
        <v>-13889.807329165691</v>
      </c>
      <c r="H33" s="3">
        <f>ABS(G33)</f>
        <v>13889.807329165691</v>
      </c>
      <c r="I33" t="str">
        <f>IF(G33&gt;0,"Under-predicted","Over-predicted")</f>
        <v>Over-predicted</v>
      </c>
    </row>
    <row r="34" spans="1:9">
      <c r="A34" t="s">
        <v>30</v>
      </c>
      <c r="B34" s="2">
        <v>45658</v>
      </c>
      <c r="C34" t="s">
        <v>20</v>
      </c>
      <c r="D34" t="s">
        <v>16</v>
      </c>
      <c r="E34" s="3">
        <v>641865.03</v>
      </c>
      <c r="F34" s="3">
        <f>Multiple_Model!$B$13+Multiple_Model!$B$14*Dummy_Variables!E34+Multiple_Model!$B$15*Dummy_Variables!F34+Multiple_Model!$B$16*Dummy_Variables!G34+Multiple_Model!$B$17*Dummy_Variables!I34+Multiple_Model!$B$18*Dummy_Variables!L34+Multiple_Model!$B$19*Dummy_Variables!H34+Multiple_Model!$B$20*Dummy_Variables!K34+Multiple_Model!$B$21*Dummy_Variables!J34+Multiple_Model!$B$22*Dummy_Variables!O34+Multiple_Model!$B$23*Dummy_Variables!P34+Multiple_Model!$B$24*Dummy_Variables!Q34+Multiple_Model!$B$25*Dummy_Variables!R34+Multiple_Model!$B$26*Dummy_Variables!S34+Multiple_Model!$B$27*Dummy_Variables!T34</f>
        <v>708669.49574370228</v>
      </c>
      <c r="G34" s="3">
        <f>E34-F34</f>
        <v>-66804.465743702254</v>
      </c>
      <c r="H34" s="3">
        <f>ABS(G34)</f>
        <v>66804.465743702254</v>
      </c>
      <c r="I34" t="str">
        <f>IF(G34&gt;0,"Under-predicted","Over-predicted")</f>
        <v>Over-predicted</v>
      </c>
    </row>
    <row r="35" spans="1:9">
      <c r="A35" t="s">
        <v>30</v>
      </c>
      <c r="B35" s="2">
        <v>45689</v>
      </c>
      <c r="C35" t="s">
        <v>20</v>
      </c>
      <c r="D35" t="s">
        <v>16</v>
      </c>
      <c r="E35" s="3">
        <v>799477.76000000001</v>
      </c>
      <c r="F35" s="3">
        <f>Multiple_Model!$B$13+Multiple_Model!$B$14*Dummy_Variables!E35+Multiple_Model!$B$15*Dummy_Variables!F35+Multiple_Model!$B$16*Dummy_Variables!G35+Multiple_Model!$B$17*Dummy_Variables!I35+Multiple_Model!$B$18*Dummy_Variables!L35+Multiple_Model!$B$19*Dummy_Variables!H35+Multiple_Model!$B$20*Dummy_Variables!K35+Multiple_Model!$B$21*Dummy_Variables!J35+Multiple_Model!$B$22*Dummy_Variables!O35+Multiple_Model!$B$23*Dummy_Variables!P35+Multiple_Model!$B$24*Dummy_Variables!Q35+Multiple_Model!$B$25*Dummy_Variables!R35+Multiple_Model!$B$26*Dummy_Variables!S35+Multiple_Model!$B$27*Dummy_Variables!T35</f>
        <v>851375.73984692921</v>
      </c>
      <c r="G35" s="3">
        <f>E35-F35</f>
        <v>-51897.9798469292</v>
      </c>
      <c r="H35" s="3">
        <f>ABS(G35)</f>
        <v>51897.9798469292</v>
      </c>
      <c r="I35" t="str">
        <f>IF(G35&gt;0,"Under-predicted","Over-predicted")</f>
        <v>Over-predicted</v>
      </c>
    </row>
    <row r="36" spans="1:9">
      <c r="A36" t="s">
        <v>30</v>
      </c>
      <c r="B36" s="2">
        <v>45717</v>
      </c>
      <c r="C36" t="s">
        <v>20</v>
      </c>
      <c r="D36" t="s">
        <v>16</v>
      </c>
      <c r="E36" s="3">
        <v>798952.17</v>
      </c>
      <c r="F36" s="3">
        <f>Multiple_Model!$B$13+Multiple_Model!$B$14*Dummy_Variables!E36+Multiple_Model!$B$15*Dummy_Variables!F36+Multiple_Model!$B$16*Dummy_Variables!G36+Multiple_Model!$B$17*Dummy_Variables!I36+Multiple_Model!$B$18*Dummy_Variables!L36+Multiple_Model!$B$19*Dummy_Variables!H36+Multiple_Model!$B$20*Dummy_Variables!K36+Multiple_Model!$B$21*Dummy_Variables!J36+Multiple_Model!$B$22*Dummy_Variables!O36+Multiple_Model!$B$23*Dummy_Variables!P36+Multiple_Model!$B$24*Dummy_Variables!Q36+Multiple_Model!$B$25*Dummy_Variables!R36+Multiple_Model!$B$26*Dummy_Variables!S36+Multiple_Model!$B$27*Dummy_Variables!T36</f>
        <v>797516.53309724748</v>
      </c>
      <c r="G36" s="3">
        <f>E36-F36</f>
        <v>1435.6369027525652</v>
      </c>
      <c r="H36" s="3">
        <f>ABS(G36)</f>
        <v>1435.6369027525652</v>
      </c>
      <c r="I36" t="str">
        <f>IF(G36&gt;0,"Under-predicted","Over-predicted")</f>
        <v>Under-predicted</v>
      </c>
    </row>
    <row r="37" spans="1:9">
      <c r="A37" t="s">
        <v>30</v>
      </c>
      <c r="B37" s="2">
        <v>45748</v>
      </c>
      <c r="C37" t="s">
        <v>20</v>
      </c>
      <c r="D37" t="s">
        <v>16</v>
      </c>
      <c r="E37" s="3">
        <v>800979.78</v>
      </c>
      <c r="F37" s="3">
        <f>Multiple_Model!$B$13+Multiple_Model!$B$14*Dummy_Variables!E37+Multiple_Model!$B$15*Dummy_Variables!F37+Multiple_Model!$B$16*Dummy_Variables!G37+Multiple_Model!$B$17*Dummy_Variables!I37+Multiple_Model!$B$18*Dummy_Variables!L37+Multiple_Model!$B$19*Dummy_Variables!H37+Multiple_Model!$B$20*Dummy_Variables!K37+Multiple_Model!$B$21*Dummy_Variables!J37+Multiple_Model!$B$22*Dummy_Variables!O37+Multiple_Model!$B$23*Dummy_Variables!P37+Multiple_Model!$B$24*Dummy_Variables!Q37+Multiple_Model!$B$25*Dummy_Variables!R37+Multiple_Model!$B$26*Dummy_Variables!S37+Multiple_Model!$B$27*Dummy_Variables!T37</f>
        <v>804840.95609460736</v>
      </c>
      <c r="G37" s="3">
        <f>E37-F37</f>
        <v>-3861.1760946073337</v>
      </c>
      <c r="H37" s="3">
        <f>ABS(G37)</f>
        <v>3861.1760946073337</v>
      </c>
      <c r="I37" t="str">
        <f>IF(G37&gt;0,"Under-predicted","Over-predicted")</f>
        <v>Over-predicted</v>
      </c>
    </row>
    <row r="38" spans="1:9">
      <c r="A38" t="s">
        <v>31</v>
      </c>
      <c r="B38" s="2">
        <v>45658</v>
      </c>
      <c r="C38" t="s">
        <v>20</v>
      </c>
      <c r="D38" t="s">
        <v>28</v>
      </c>
      <c r="E38" s="3">
        <v>820593.93</v>
      </c>
      <c r="F38" s="3">
        <f>Multiple_Model!$B$13+Multiple_Model!$B$14*Dummy_Variables!E38+Multiple_Model!$B$15*Dummy_Variables!F38+Multiple_Model!$B$16*Dummy_Variables!G38+Multiple_Model!$B$17*Dummy_Variables!I38+Multiple_Model!$B$18*Dummy_Variables!L38+Multiple_Model!$B$19*Dummy_Variables!H38+Multiple_Model!$B$20*Dummy_Variables!K38+Multiple_Model!$B$21*Dummy_Variables!J38+Multiple_Model!$B$22*Dummy_Variables!O38+Multiple_Model!$B$23*Dummy_Variables!P38+Multiple_Model!$B$24*Dummy_Variables!Q38+Multiple_Model!$B$25*Dummy_Variables!R38+Multiple_Model!$B$26*Dummy_Variables!S38+Multiple_Model!$B$27*Dummy_Variables!T38</f>
        <v>776254.46782510297</v>
      </c>
      <c r="G38" s="3">
        <f>E38-F38</f>
        <v>44339.462174897082</v>
      </c>
      <c r="H38" s="3">
        <f>ABS(G38)</f>
        <v>44339.462174897082</v>
      </c>
      <c r="I38" t="str">
        <f>IF(G38&gt;0,"Under-predicted","Over-predicted")</f>
        <v>Under-predicted</v>
      </c>
    </row>
    <row r="39" spans="1:9">
      <c r="A39" t="s">
        <v>31</v>
      </c>
      <c r="B39" s="2">
        <v>45689</v>
      </c>
      <c r="C39" t="s">
        <v>20</v>
      </c>
      <c r="D39" t="s">
        <v>28</v>
      </c>
      <c r="E39" s="3">
        <v>718330.53</v>
      </c>
      <c r="F39" s="3">
        <f>Multiple_Model!$B$13+Multiple_Model!$B$14*Dummy_Variables!E39+Multiple_Model!$B$15*Dummy_Variables!F39+Multiple_Model!$B$16*Dummy_Variables!G39+Multiple_Model!$B$17*Dummy_Variables!I39+Multiple_Model!$B$18*Dummy_Variables!L39+Multiple_Model!$B$19*Dummy_Variables!H39+Multiple_Model!$B$20*Dummy_Variables!K39+Multiple_Model!$B$21*Dummy_Variables!J39+Multiple_Model!$B$22*Dummy_Variables!O39+Multiple_Model!$B$23*Dummy_Variables!P39+Multiple_Model!$B$24*Dummy_Variables!Q39+Multiple_Model!$B$25*Dummy_Variables!R39+Multiple_Model!$B$26*Dummy_Variables!S39+Multiple_Model!$B$27*Dummy_Variables!T39</f>
        <v>742588.25339692656</v>
      </c>
      <c r="G39" s="3">
        <f>E39-F39</f>
        <v>-24257.723396926536</v>
      </c>
      <c r="H39" s="3">
        <f>ABS(G39)</f>
        <v>24257.723396926536</v>
      </c>
      <c r="I39" t="str">
        <f>IF(G39&gt;0,"Under-predicted","Over-predicted")</f>
        <v>Over-predicted</v>
      </c>
    </row>
    <row r="40" spans="1:9">
      <c r="A40" t="s">
        <v>31</v>
      </c>
      <c r="B40" s="2">
        <v>45717</v>
      </c>
      <c r="C40" t="s">
        <v>20</v>
      </c>
      <c r="D40" t="s">
        <v>28</v>
      </c>
      <c r="E40" s="3">
        <v>736633.4</v>
      </c>
      <c r="F40" s="3">
        <f>Multiple_Model!$B$13+Multiple_Model!$B$14*Dummy_Variables!E40+Multiple_Model!$B$15*Dummy_Variables!F40+Multiple_Model!$B$16*Dummy_Variables!G40+Multiple_Model!$B$17*Dummy_Variables!I40+Multiple_Model!$B$18*Dummy_Variables!L40+Multiple_Model!$B$19*Dummy_Variables!H40+Multiple_Model!$B$20*Dummy_Variables!K40+Multiple_Model!$B$21*Dummy_Variables!J40+Multiple_Model!$B$22*Dummy_Variables!O40+Multiple_Model!$B$23*Dummy_Variables!P40+Multiple_Model!$B$24*Dummy_Variables!Q40+Multiple_Model!$B$25*Dummy_Variables!R40+Multiple_Model!$B$26*Dummy_Variables!S40+Multiple_Model!$B$27*Dummy_Variables!T40</f>
        <v>749132.64300435781</v>
      </c>
      <c r="G40" s="3">
        <f>E40-F40</f>
        <v>-12499.243004357792</v>
      </c>
      <c r="H40" s="3">
        <f>ABS(G40)</f>
        <v>12499.243004357792</v>
      </c>
      <c r="I40" t="str">
        <f>IF(G40&gt;0,"Under-predicted","Over-predicted")</f>
        <v>Over-predicted</v>
      </c>
    </row>
    <row r="41" spans="1:9">
      <c r="A41" t="s">
        <v>31</v>
      </c>
      <c r="B41" s="2">
        <v>45748</v>
      </c>
      <c r="C41" t="s">
        <v>20</v>
      </c>
      <c r="D41" t="s">
        <v>28</v>
      </c>
      <c r="E41" s="3">
        <v>828623.85</v>
      </c>
      <c r="F41" s="3">
        <f>Multiple_Model!$B$13+Multiple_Model!$B$14*Dummy_Variables!E41+Multiple_Model!$B$15*Dummy_Variables!F41+Multiple_Model!$B$16*Dummy_Variables!G41+Multiple_Model!$B$17*Dummy_Variables!I41+Multiple_Model!$B$18*Dummy_Variables!L41+Multiple_Model!$B$19*Dummy_Variables!H41+Multiple_Model!$B$20*Dummy_Variables!K41+Multiple_Model!$B$21*Dummy_Variables!J41+Multiple_Model!$B$22*Dummy_Variables!O41+Multiple_Model!$B$23*Dummy_Variables!P41+Multiple_Model!$B$24*Dummy_Variables!Q41+Multiple_Model!$B$25*Dummy_Variables!R41+Multiple_Model!$B$26*Dummy_Variables!S41+Multiple_Model!$B$27*Dummy_Variables!T41</f>
        <v>851625.73624094715</v>
      </c>
      <c r="G41" s="3">
        <f>E41-F41</f>
        <v>-23001.886240947177</v>
      </c>
      <c r="H41" s="3">
        <f>ABS(G41)</f>
        <v>23001.886240947177</v>
      </c>
      <c r="I41" t="str">
        <f>IF(G41&gt;0,"Under-predicted","Over-predicted")</f>
        <v>Over-predicted</v>
      </c>
    </row>
    <row r="42" spans="1:9">
      <c r="A42" t="s">
        <v>32</v>
      </c>
      <c r="B42" s="2">
        <v>45658</v>
      </c>
      <c r="C42" t="s">
        <v>15</v>
      </c>
      <c r="D42" t="s">
        <v>28</v>
      </c>
      <c r="E42" s="3">
        <v>592195.85</v>
      </c>
      <c r="F42" s="3">
        <f>Multiple_Model!$B$13+Multiple_Model!$B$14*Dummy_Variables!E42+Multiple_Model!$B$15*Dummy_Variables!F42+Multiple_Model!$B$16*Dummy_Variables!G42+Multiple_Model!$B$17*Dummy_Variables!I42+Multiple_Model!$B$18*Dummy_Variables!L42+Multiple_Model!$B$19*Dummy_Variables!H42+Multiple_Model!$B$20*Dummy_Variables!K42+Multiple_Model!$B$21*Dummy_Variables!J42+Multiple_Model!$B$22*Dummy_Variables!O42+Multiple_Model!$B$23*Dummy_Variables!P42+Multiple_Model!$B$24*Dummy_Variables!Q42+Multiple_Model!$B$25*Dummy_Variables!R42+Multiple_Model!$B$26*Dummy_Variables!S42+Multiple_Model!$B$27*Dummy_Variables!T42</f>
        <v>580479.81274882914</v>
      </c>
      <c r="G42" s="3">
        <f>E42-F42</f>
        <v>11716.037251170841</v>
      </c>
      <c r="H42" s="3">
        <f>ABS(G42)</f>
        <v>11716.037251170841</v>
      </c>
      <c r="I42" t="str">
        <f>IF(G42&gt;0,"Under-predicted","Over-predicted")</f>
        <v>Under-predicted</v>
      </c>
    </row>
    <row r="43" spans="1:9">
      <c r="A43" t="s">
        <v>32</v>
      </c>
      <c r="B43" s="2">
        <v>45689</v>
      </c>
      <c r="C43" t="s">
        <v>15</v>
      </c>
      <c r="D43" t="s">
        <v>28</v>
      </c>
      <c r="E43" s="3">
        <v>532644.46</v>
      </c>
      <c r="F43" s="3">
        <f>Multiple_Model!$B$13+Multiple_Model!$B$14*Dummy_Variables!E43+Multiple_Model!$B$15*Dummy_Variables!F43+Multiple_Model!$B$16*Dummy_Variables!G43+Multiple_Model!$B$17*Dummy_Variables!I43+Multiple_Model!$B$18*Dummy_Variables!L43+Multiple_Model!$B$19*Dummy_Variables!H43+Multiple_Model!$B$20*Dummy_Variables!K43+Multiple_Model!$B$21*Dummy_Variables!J43+Multiple_Model!$B$22*Dummy_Variables!O43+Multiple_Model!$B$23*Dummy_Variables!P43+Multiple_Model!$B$24*Dummy_Variables!Q43+Multiple_Model!$B$25*Dummy_Variables!R43+Multiple_Model!$B$26*Dummy_Variables!S43+Multiple_Model!$B$27*Dummy_Variables!T43</f>
        <v>529951.51301314216</v>
      </c>
      <c r="G43" s="3">
        <f>E43-F43</f>
        <v>2692.9469868578017</v>
      </c>
      <c r="H43" s="3">
        <f>ABS(G43)</f>
        <v>2692.9469868578017</v>
      </c>
      <c r="I43" t="str">
        <f>IF(G43&gt;0,"Under-predicted","Over-predicted")</f>
        <v>Under-predicted</v>
      </c>
    </row>
    <row r="44" spans="1:9">
      <c r="A44" t="s">
        <v>32</v>
      </c>
      <c r="B44" s="2">
        <v>45717</v>
      </c>
      <c r="C44" t="s">
        <v>15</v>
      </c>
      <c r="D44" t="s">
        <v>28</v>
      </c>
      <c r="E44" s="3">
        <v>657429.18000000005</v>
      </c>
      <c r="F44" s="3">
        <f>Multiple_Model!$B$13+Multiple_Model!$B$14*Dummy_Variables!E44+Multiple_Model!$B$15*Dummy_Variables!F44+Multiple_Model!$B$16*Dummy_Variables!G44+Multiple_Model!$B$17*Dummy_Variables!I44+Multiple_Model!$B$18*Dummy_Variables!L44+Multiple_Model!$B$19*Dummy_Variables!H44+Multiple_Model!$B$20*Dummy_Variables!K44+Multiple_Model!$B$21*Dummy_Variables!J44+Multiple_Model!$B$22*Dummy_Variables!O44+Multiple_Model!$B$23*Dummy_Variables!P44+Multiple_Model!$B$24*Dummy_Variables!Q44+Multiple_Model!$B$25*Dummy_Variables!R44+Multiple_Model!$B$26*Dummy_Variables!S44+Multiple_Model!$B$27*Dummy_Variables!T44</f>
        <v>623532.7645394057</v>
      </c>
      <c r="G44" s="3">
        <f>E44-F44</f>
        <v>33896.415460594348</v>
      </c>
      <c r="H44" s="3">
        <f>ABS(G44)</f>
        <v>33896.415460594348</v>
      </c>
      <c r="I44" t="str">
        <f>IF(G44&gt;0,"Under-predicted","Over-predicted")</f>
        <v>Under-predicted</v>
      </c>
    </row>
    <row r="45" spans="1:9">
      <c r="A45" t="s">
        <v>32</v>
      </c>
      <c r="B45" s="2">
        <v>45748</v>
      </c>
      <c r="C45" t="s">
        <v>15</v>
      </c>
      <c r="D45" t="s">
        <v>28</v>
      </c>
      <c r="E45" s="3">
        <v>605178</v>
      </c>
      <c r="F45" s="3">
        <f>Multiple_Model!$B$13+Multiple_Model!$B$14*Dummy_Variables!E45+Multiple_Model!$B$15*Dummy_Variables!F45+Multiple_Model!$B$16*Dummy_Variables!G45+Multiple_Model!$B$17*Dummy_Variables!I45+Multiple_Model!$B$18*Dummy_Variables!L45+Multiple_Model!$B$19*Dummy_Variables!H45+Multiple_Model!$B$20*Dummy_Variables!K45+Multiple_Model!$B$21*Dummy_Variables!J45+Multiple_Model!$B$22*Dummy_Variables!O45+Multiple_Model!$B$23*Dummy_Variables!P45+Multiple_Model!$B$24*Dummy_Variables!Q45+Multiple_Model!$B$25*Dummy_Variables!R45+Multiple_Model!$B$26*Dummy_Variables!S45+Multiple_Model!$B$27*Dummy_Variables!T45</f>
        <v>603205.19695219595</v>
      </c>
      <c r="G45" s="3">
        <f>E45-F45</f>
        <v>1972.8030478040455</v>
      </c>
      <c r="H45" s="3">
        <f>ABS(G45)</f>
        <v>1972.8030478040455</v>
      </c>
      <c r="I45" t="str">
        <f>IF(G45&gt;0,"Under-predicted","Over-predicted")</f>
        <v>Under-predicted</v>
      </c>
    </row>
    <row r="46" spans="1:9">
      <c r="A46" t="s">
        <v>33</v>
      </c>
      <c r="B46" s="2">
        <v>45658</v>
      </c>
      <c r="C46" t="s">
        <v>27</v>
      </c>
      <c r="D46" t="s">
        <v>16</v>
      </c>
      <c r="E46" s="3">
        <v>595467.6</v>
      </c>
      <c r="F46" s="3">
        <f>Multiple_Model!$B$13+Multiple_Model!$B$14*Dummy_Variables!E46+Multiple_Model!$B$15*Dummy_Variables!F46+Multiple_Model!$B$16*Dummy_Variables!G46+Multiple_Model!$B$17*Dummy_Variables!I46+Multiple_Model!$B$18*Dummy_Variables!L46+Multiple_Model!$B$19*Dummy_Variables!H46+Multiple_Model!$B$20*Dummy_Variables!K46+Multiple_Model!$B$21*Dummy_Variables!J46+Multiple_Model!$B$22*Dummy_Variables!O46+Multiple_Model!$B$23*Dummy_Variables!P46+Multiple_Model!$B$24*Dummy_Variables!Q46+Multiple_Model!$B$25*Dummy_Variables!R46+Multiple_Model!$B$26*Dummy_Variables!S46+Multiple_Model!$B$27*Dummy_Variables!T46</f>
        <v>709913.77550638455</v>
      </c>
      <c r="G46" s="3">
        <f>E46-F46</f>
        <v>-114446.17550638458</v>
      </c>
      <c r="H46" s="3">
        <f>ABS(G46)</f>
        <v>114446.17550638458</v>
      </c>
      <c r="I46" t="str">
        <f>IF(G46&gt;0,"Under-predicted","Over-predicted")</f>
        <v>Over-predicted</v>
      </c>
    </row>
    <row r="47" spans="1:9">
      <c r="A47" t="s">
        <v>33</v>
      </c>
      <c r="B47" s="2">
        <v>45689</v>
      </c>
      <c r="C47" t="s">
        <v>27</v>
      </c>
      <c r="D47" t="s">
        <v>16</v>
      </c>
      <c r="E47" s="3">
        <v>599603.4</v>
      </c>
      <c r="F47" s="3">
        <f>Multiple_Model!$B$13+Multiple_Model!$B$14*Dummy_Variables!E47+Multiple_Model!$B$15*Dummy_Variables!F47+Multiple_Model!$B$16*Dummy_Variables!G47+Multiple_Model!$B$17*Dummy_Variables!I47+Multiple_Model!$B$18*Dummy_Variables!L47+Multiple_Model!$B$19*Dummy_Variables!H47+Multiple_Model!$B$20*Dummy_Variables!K47+Multiple_Model!$B$21*Dummy_Variables!J47+Multiple_Model!$B$22*Dummy_Variables!O47+Multiple_Model!$B$23*Dummy_Variables!P47+Multiple_Model!$B$24*Dummy_Variables!Q47+Multiple_Model!$B$25*Dummy_Variables!R47+Multiple_Model!$B$26*Dummy_Variables!S47+Multiple_Model!$B$27*Dummy_Variables!T47</f>
        <v>631987.04320488486</v>
      </c>
      <c r="G47" s="3">
        <f>E47-F47</f>
        <v>-32383.643204884836</v>
      </c>
      <c r="H47" s="3">
        <f>ABS(G47)</f>
        <v>32383.643204884836</v>
      </c>
      <c r="I47" t="str">
        <f>IF(G47&gt;0,"Under-predicted","Over-predicted")</f>
        <v>Over-predicted</v>
      </c>
    </row>
    <row r="48" spans="1:9">
      <c r="A48" t="s">
        <v>33</v>
      </c>
      <c r="B48" s="2">
        <v>45717</v>
      </c>
      <c r="C48" t="s">
        <v>27</v>
      </c>
      <c r="D48" t="s">
        <v>16</v>
      </c>
      <c r="E48" s="3">
        <v>614800.09</v>
      </c>
      <c r="F48" s="3">
        <f>Multiple_Model!$B$13+Multiple_Model!$B$14*Dummy_Variables!E48+Multiple_Model!$B$15*Dummy_Variables!F48+Multiple_Model!$B$16*Dummy_Variables!G48+Multiple_Model!$B$17*Dummy_Variables!I48+Multiple_Model!$B$18*Dummy_Variables!L48+Multiple_Model!$B$19*Dummy_Variables!H48+Multiple_Model!$B$20*Dummy_Variables!K48+Multiple_Model!$B$21*Dummy_Variables!J48+Multiple_Model!$B$22*Dummy_Variables!O48+Multiple_Model!$B$23*Dummy_Variables!P48+Multiple_Model!$B$24*Dummy_Variables!Q48+Multiple_Model!$B$25*Dummy_Variables!R48+Multiple_Model!$B$26*Dummy_Variables!S48+Multiple_Model!$B$27*Dummy_Variables!T48</f>
        <v>589643.09401952813</v>
      </c>
      <c r="G48" s="3">
        <f>E48-F48</f>
        <v>25156.995980471838</v>
      </c>
      <c r="H48" s="3">
        <f>ABS(G48)</f>
        <v>25156.995980471838</v>
      </c>
      <c r="I48" t="str">
        <f>IF(G48&gt;0,"Under-predicted","Over-predicted")</f>
        <v>Under-predicted</v>
      </c>
    </row>
    <row r="49" spans="1:9">
      <c r="A49" t="s">
        <v>33</v>
      </c>
      <c r="B49" s="2">
        <v>45748</v>
      </c>
      <c r="C49" t="s">
        <v>27</v>
      </c>
      <c r="D49" t="s">
        <v>16</v>
      </c>
      <c r="E49" s="3">
        <v>585365.73</v>
      </c>
      <c r="F49" s="3">
        <f>Multiple_Model!$B$13+Multiple_Model!$B$14*Dummy_Variables!E49+Multiple_Model!$B$15*Dummy_Variables!F49+Multiple_Model!$B$16*Dummy_Variables!G49+Multiple_Model!$B$17*Dummy_Variables!I49+Multiple_Model!$B$18*Dummy_Variables!L49+Multiple_Model!$B$19*Dummy_Variables!H49+Multiple_Model!$B$20*Dummy_Variables!K49+Multiple_Model!$B$21*Dummy_Variables!J49+Multiple_Model!$B$22*Dummy_Variables!O49+Multiple_Model!$B$23*Dummy_Variables!P49+Multiple_Model!$B$24*Dummy_Variables!Q49+Multiple_Model!$B$25*Dummy_Variables!R49+Multiple_Model!$B$26*Dummy_Variables!S49+Multiple_Model!$B$27*Dummy_Variables!T49</f>
        <v>553059.32951934205</v>
      </c>
      <c r="G49" s="3">
        <f>E49-F49</f>
        <v>32306.400480657932</v>
      </c>
      <c r="H49" s="3">
        <f>ABS(G49)</f>
        <v>32306.400480657932</v>
      </c>
      <c r="I49" t="str">
        <f>IF(G49&gt;0,"Under-predicted","Over-predicted")</f>
        <v>Under-predicted</v>
      </c>
    </row>
    <row r="50" spans="1:9">
      <c r="A50" t="s">
        <v>34</v>
      </c>
      <c r="B50" s="2">
        <v>45658</v>
      </c>
      <c r="C50" t="s">
        <v>20</v>
      </c>
      <c r="D50" t="s">
        <v>28</v>
      </c>
      <c r="E50" s="3">
        <v>622811.74</v>
      </c>
      <c r="F50" s="3">
        <f>Multiple_Model!$B$13+Multiple_Model!$B$14*Dummy_Variables!E50+Multiple_Model!$B$15*Dummy_Variables!F50+Multiple_Model!$B$16*Dummy_Variables!G50+Multiple_Model!$B$17*Dummy_Variables!I50+Multiple_Model!$B$18*Dummy_Variables!L50+Multiple_Model!$B$19*Dummy_Variables!H50+Multiple_Model!$B$20*Dummy_Variables!K50+Multiple_Model!$B$21*Dummy_Variables!J50+Multiple_Model!$B$22*Dummy_Variables!O50+Multiple_Model!$B$23*Dummy_Variables!P50+Multiple_Model!$B$24*Dummy_Variables!Q50+Multiple_Model!$B$25*Dummy_Variables!R50+Multiple_Model!$B$26*Dummy_Variables!S50+Multiple_Model!$B$27*Dummy_Variables!T50</f>
        <v>674344.02914607199</v>
      </c>
      <c r="G50" s="3">
        <f>E50-F50</f>
        <v>-51532.289146071998</v>
      </c>
      <c r="H50" s="3">
        <f>ABS(G50)</f>
        <v>51532.289146071998</v>
      </c>
      <c r="I50" t="str">
        <f>IF(G50&gt;0,"Under-predicted","Over-predicted")</f>
        <v>Over-predicted</v>
      </c>
    </row>
    <row r="51" spans="1:9">
      <c r="A51" t="s">
        <v>34</v>
      </c>
      <c r="B51" s="2">
        <v>45689</v>
      </c>
      <c r="C51" t="s">
        <v>20</v>
      </c>
      <c r="D51" t="s">
        <v>28</v>
      </c>
      <c r="E51" s="3">
        <v>603297.56999999995</v>
      </c>
      <c r="F51" s="3">
        <f>Multiple_Model!$B$13+Multiple_Model!$B$14*Dummy_Variables!E51+Multiple_Model!$B$15*Dummy_Variables!F51+Multiple_Model!$B$16*Dummy_Variables!G51+Multiple_Model!$B$17*Dummy_Variables!I51+Multiple_Model!$B$18*Dummy_Variables!L51+Multiple_Model!$B$19*Dummy_Variables!H51+Multiple_Model!$B$20*Dummy_Variables!K51+Multiple_Model!$B$21*Dummy_Variables!J51+Multiple_Model!$B$22*Dummy_Variables!O51+Multiple_Model!$B$23*Dummy_Variables!P51+Multiple_Model!$B$24*Dummy_Variables!Q51+Multiple_Model!$B$25*Dummy_Variables!R51+Multiple_Model!$B$26*Dummy_Variables!S51+Multiple_Model!$B$27*Dummy_Variables!T51</f>
        <v>580279.29138570465</v>
      </c>
      <c r="G51" s="3">
        <f>E51-F51</f>
        <v>23018.278614295297</v>
      </c>
      <c r="H51" s="3">
        <f>ABS(G51)</f>
        <v>23018.278614295297</v>
      </c>
      <c r="I51" t="str">
        <f>IF(G51&gt;0,"Under-predicted","Over-predicted")</f>
        <v>Under-predicted</v>
      </c>
    </row>
    <row r="52" spans="1:9">
      <c r="A52" t="s">
        <v>34</v>
      </c>
      <c r="B52" s="2">
        <v>45717</v>
      </c>
      <c r="C52" t="s">
        <v>20</v>
      </c>
      <c r="D52" t="s">
        <v>28</v>
      </c>
      <c r="E52" s="3">
        <v>625672.86</v>
      </c>
      <c r="F52" s="3">
        <f>Multiple_Model!$B$13+Multiple_Model!$B$14*Dummy_Variables!E52+Multiple_Model!$B$15*Dummy_Variables!F52+Multiple_Model!$B$16*Dummy_Variables!G52+Multiple_Model!$B$17*Dummy_Variables!I52+Multiple_Model!$B$18*Dummy_Variables!L52+Multiple_Model!$B$19*Dummy_Variables!H52+Multiple_Model!$B$20*Dummy_Variables!K52+Multiple_Model!$B$21*Dummy_Variables!J52+Multiple_Model!$B$22*Dummy_Variables!O52+Multiple_Model!$B$23*Dummy_Variables!P52+Multiple_Model!$B$24*Dummy_Variables!Q52+Multiple_Model!$B$25*Dummy_Variables!R52+Multiple_Model!$B$26*Dummy_Variables!S52+Multiple_Model!$B$27*Dummy_Variables!T52</f>
        <v>602434.99503030418</v>
      </c>
      <c r="G52" s="3">
        <f>E52-F52</f>
        <v>23237.864969695802</v>
      </c>
      <c r="H52" s="3">
        <f>ABS(G52)</f>
        <v>23237.864969695802</v>
      </c>
      <c r="I52" t="str">
        <f>IF(G52&gt;0,"Under-predicted","Over-predicted")</f>
        <v>Under-predicted</v>
      </c>
    </row>
    <row r="53" spans="1:9">
      <c r="A53" t="s">
        <v>34</v>
      </c>
      <c r="B53" s="2">
        <v>45748</v>
      </c>
      <c r="C53" t="s">
        <v>20</v>
      </c>
      <c r="D53" t="s">
        <v>28</v>
      </c>
      <c r="E53" s="3">
        <v>773815.14</v>
      </c>
      <c r="F53" s="3">
        <f>Multiple_Model!$B$13+Multiple_Model!$B$14*Dummy_Variables!E53+Multiple_Model!$B$15*Dummy_Variables!F53+Multiple_Model!$B$16*Dummy_Variables!G53+Multiple_Model!$B$17*Dummy_Variables!I53+Multiple_Model!$B$18*Dummy_Variables!L53+Multiple_Model!$B$19*Dummy_Variables!H53+Multiple_Model!$B$20*Dummy_Variables!K53+Multiple_Model!$B$21*Dummy_Variables!J53+Multiple_Model!$B$22*Dummy_Variables!O53+Multiple_Model!$B$23*Dummy_Variables!P53+Multiple_Model!$B$24*Dummy_Variables!Q53+Multiple_Model!$B$25*Dummy_Variables!R53+Multiple_Model!$B$26*Dummy_Variables!S53+Multiple_Model!$B$27*Dummy_Variables!T53</f>
        <v>744402.16398159927</v>
      </c>
      <c r="G53" s="3">
        <f>E53-F53</f>
        <v>29412.976018400746</v>
      </c>
      <c r="H53" s="3">
        <f>ABS(G53)</f>
        <v>29412.976018400746</v>
      </c>
      <c r="I53" t="str">
        <f>IF(G53&gt;0,"Under-predicted","Over-predicted")</f>
        <v>Under-predicted</v>
      </c>
    </row>
    <row r="54" spans="1:9">
      <c r="A54" t="s">
        <v>35</v>
      </c>
      <c r="B54" s="2">
        <v>45658</v>
      </c>
      <c r="C54" t="s">
        <v>27</v>
      </c>
      <c r="D54" t="s">
        <v>18</v>
      </c>
      <c r="E54" s="3">
        <v>463534.25</v>
      </c>
      <c r="F54" s="3">
        <f>Multiple_Model!$B$13+Multiple_Model!$B$14*Dummy_Variables!E54+Multiple_Model!$B$15*Dummy_Variables!F54+Multiple_Model!$B$16*Dummy_Variables!G54+Multiple_Model!$B$17*Dummy_Variables!I54+Multiple_Model!$B$18*Dummy_Variables!L54+Multiple_Model!$B$19*Dummy_Variables!H54+Multiple_Model!$B$20*Dummy_Variables!K54+Multiple_Model!$B$21*Dummy_Variables!J54+Multiple_Model!$B$22*Dummy_Variables!O54+Multiple_Model!$B$23*Dummy_Variables!P54+Multiple_Model!$B$24*Dummy_Variables!Q54+Multiple_Model!$B$25*Dummy_Variables!R54+Multiple_Model!$B$26*Dummy_Variables!S54+Multiple_Model!$B$27*Dummy_Variables!T54</f>
        <v>500126.5548688717</v>
      </c>
      <c r="G54" s="3">
        <f>E54-F54</f>
        <v>-36592.304868871695</v>
      </c>
      <c r="H54" s="3">
        <f>ABS(G54)</f>
        <v>36592.304868871695</v>
      </c>
      <c r="I54" t="str">
        <f>IF(G54&gt;0,"Under-predicted","Over-predicted")</f>
        <v>Over-predicted</v>
      </c>
    </row>
    <row r="55" spans="1:9">
      <c r="A55" t="s">
        <v>35</v>
      </c>
      <c r="B55" s="2">
        <v>45689</v>
      </c>
      <c r="C55" t="s">
        <v>27</v>
      </c>
      <c r="D55" t="s">
        <v>18</v>
      </c>
      <c r="E55" s="3">
        <v>746677.75</v>
      </c>
      <c r="F55" s="3">
        <f>Multiple_Model!$B$13+Multiple_Model!$B$14*Dummy_Variables!E55+Multiple_Model!$B$15*Dummy_Variables!F55+Multiple_Model!$B$16*Dummy_Variables!G55+Multiple_Model!$B$17*Dummy_Variables!I55+Multiple_Model!$B$18*Dummy_Variables!L55+Multiple_Model!$B$19*Dummy_Variables!H55+Multiple_Model!$B$20*Dummy_Variables!K55+Multiple_Model!$B$21*Dummy_Variables!J55+Multiple_Model!$B$22*Dummy_Variables!O55+Multiple_Model!$B$23*Dummy_Variables!P55+Multiple_Model!$B$24*Dummy_Variables!Q55+Multiple_Model!$B$25*Dummy_Variables!R55+Multiple_Model!$B$26*Dummy_Variables!S55+Multiple_Model!$B$27*Dummy_Variables!T55</f>
        <v>716380.21406149107</v>
      </c>
      <c r="G55" s="3">
        <f>E55-F55</f>
        <v>30297.535938508925</v>
      </c>
      <c r="H55" s="3">
        <f>ABS(G55)</f>
        <v>30297.535938508925</v>
      </c>
      <c r="I55" t="str">
        <f>IF(G55&gt;0,"Under-predicted","Over-predicted")</f>
        <v>Under-predicted</v>
      </c>
    </row>
    <row r="56" spans="1:9">
      <c r="A56" t="s">
        <v>35</v>
      </c>
      <c r="B56" s="2">
        <v>45717</v>
      </c>
      <c r="C56" t="s">
        <v>27</v>
      </c>
      <c r="D56" t="s">
        <v>18</v>
      </c>
      <c r="E56" s="3">
        <v>720852.5</v>
      </c>
      <c r="F56" s="3">
        <f>Multiple_Model!$B$13+Multiple_Model!$B$14*Dummy_Variables!E56+Multiple_Model!$B$15*Dummy_Variables!F56+Multiple_Model!$B$16*Dummy_Variables!G56+Multiple_Model!$B$17*Dummy_Variables!I56+Multiple_Model!$B$18*Dummy_Variables!L56+Multiple_Model!$B$19*Dummy_Variables!H56+Multiple_Model!$B$20*Dummy_Variables!K56+Multiple_Model!$B$21*Dummy_Variables!J56+Multiple_Model!$B$22*Dummy_Variables!O56+Multiple_Model!$B$23*Dummy_Variables!P56+Multiple_Model!$B$24*Dummy_Variables!Q56+Multiple_Model!$B$25*Dummy_Variables!R56+Multiple_Model!$B$26*Dummy_Variables!S56+Multiple_Model!$B$27*Dummy_Variables!T56</f>
        <v>698121.86080652568</v>
      </c>
      <c r="G56" s="3">
        <f>E56-F56</f>
        <v>22730.639193474315</v>
      </c>
      <c r="H56" s="3">
        <f>ABS(G56)</f>
        <v>22730.639193474315</v>
      </c>
      <c r="I56" t="str">
        <f>IF(G56&gt;0,"Under-predicted","Over-predicted")</f>
        <v>Under-predicted</v>
      </c>
    </row>
    <row r="57" spans="1:9">
      <c r="A57" t="s">
        <v>35</v>
      </c>
      <c r="B57" s="2">
        <v>45748</v>
      </c>
      <c r="C57" t="s">
        <v>27</v>
      </c>
      <c r="D57" t="s">
        <v>18</v>
      </c>
      <c r="E57" s="3">
        <v>487464.91</v>
      </c>
      <c r="F57" s="3">
        <f>Multiple_Model!$B$13+Multiple_Model!$B$14*Dummy_Variables!E57+Multiple_Model!$B$15*Dummy_Variables!F57+Multiple_Model!$B$16*Dummy_Variables!G57+Multiple_Model!$B$17*Dummy_Variables!I57+Multiple_Model!$B$18*Dummy_Variables!L57+Multiple_Model!$B$19*Dummy_Variables!H57+Multiple_Model!$B$20*Dummy_Variables!K57+Multiple_Model!$B$21*Dummy_Variables!J57+Multiple_Model!$B$22*Dummy_Variables!O57+Multiple_Model!$B$23*Dummy_Variables!P57+Multiple_Model!$B$24*Dummy_Variables!Q57+Multiple_Model!$B$25*Dummy_Variables!R57+Multiple_Model!$B$26*Dummy_Variables!S57+Multiple_Model!$B$27*Dummy_Variables!T57</f>
        <v>564482.66756867419</v>
      </c>
      <c r="G57" s="3">
        <f>E57-F57</f>
        <v>-77017.75756867422</v>
      </c>
      <c r="H57" s="3">
        <f>ABS(G57)</f>
        <v>77017.75756867422</v>
      </c>
      <c r="I57" t="str">
        <f>IF(G57&gt;0,"Under-predicted","Over-predicted")</f>
        <v>Over-predicted</v>
      </c>
    </row>
    <row r="58" spans="1:9">
      <c r="A58" t="s">
        <v>36</v>
      </c>
      <c r="B58" s="2">
        <v>45658</v>
      </c>
      <c r="C58" t="s">
        <v>15</v>
      </c>
      <c r="D58" t="s">
        <v>21</v>
      </c>
      <c r="E58" s="3">
        <v>518049.26</v>
      </c>
      <c r="F58" s="3">
        <f>Multiple_Model!$B$13+Multiple_Model!$B$14*Dummy_Variables!E58+Multiple_Model!$B$15*Dummy_Variables!F58+Multiple_Model!$B$16*Dummy_Variables!G58+Multiple_Model!$B$17*Dummy_Variables!I58+Multiple_Model!$B$18*Dummy_Variables!L58+Multiple_Model!$B$19*Dummy_Variables!H58+Multiple_Model!$B$20*Dummy_Variables!K58+Multiple_Model!$B$21*Dummy_Variables!J58+Multiple_Model!$B$22*Dummy_Variables!O58+Multiple_Model!$B$23*Dummy_Variables!P58+Multiple_Model!$B$24*Dummy_Variables!Q58+Multiple_Model!$B$25*Dummy_Variables!R58+Multiple_Model!$B$26*Dummy_Variables!S58+Multiple_Model!$B$27*Dummy_Variables!T58</f>
        <v>550248.77204555494</v>
      </c>
      <c r="G58" s="3">
        <f>E58-F58</f>
        <v>-32199.512045554933</v>
      </c>
      <c r="H58" s="3">
        <f>ABS(G58)</f>
        <v>32199.512045554933</v>
      </c>
      <c r="I58" t="str">
        <f>IF(G58&gt;0,"Under-predicted","Over-predicted")</f>
        <v>Over-predicted</v>
      </c>
    </row>
    <row r="59" spans="1:9">
      <c r="A59" t="s">
        <v>36</v>
      </c>
      <c r="B59" s="2">
        <v>45689</v>
      </c>
      <c r="C59" t="s">
        <v>15</v>
      </c>
      <c r="D59" t="s">
        <v>21</v>
      </c>
      <c r="E59" s="3">
        <v>500298.48</v>
      </c>
      <c r="F59" s="3">
        <f>Multiple_Model!$B$13+Multiple_Model!$B$14*Dummy_Variables!E59+Multiple_Model!$B$15*Dummy_Variables!F59+Multiple_Model!$B$16*Dummy_Variables!G59+Multiple_Model!$B$17*Dummy_Variables!I59+Multiple_Model!$B$18*Dummy_Variables!L59+Multiple_Model!$B$19*Dummy_Variables!H59+Multiple_Model!$B$20*Dummy_Variables!K59+Multiple_Model!$B$21*Dummy_Variables!J59+Multiple_Model!$B$22*Dummy_Variables!O59+Multiple_Model!$B$23*Dummy_Variables!P59+Multiple_Model!$B$24*Dummy_Variables!Q59+Multiple_Model!$B$25*Dummy_Variables!R59+Multiple_Model!$B$26*Dummy_Variables!S59+Multiple_Model!$B$27*Dummy_Variables!T59</f>
        <v>528882.86396198184</v>
      </c>
      <c r="G59" s="3">
        <f>E59-F59</f>
        <v>-28584.383961981861</v>
      </c>
      <c r="H59" s="3">
        <f>ABS(G59)</f>
        <v>28584.383961981861</v>
      </c>
      <c r="I59" t="str">
        <f>IF(G59&gt;0,"Under-predicted","Over-predicted")</f>
        <v>Over-predicted</v>
      </c>
    </row>
    <row r="60" spans="1:9">
      <c r="A60" t="s">
        <v>36</v>
      </c>
      <c r="B60" s="2">
        <v>45717</v>
      </c>
      <c r="C60" t="s">
        <v>15</v>
      </c>
      <c r="D60" t="s">
        <v>21</v>
      </c>
      <c r="E60" s="3">
        <v>617291.15</v>
      </c>
      <c r="F60" s="3">
        <f>Multiple_Model!$B$13+Multiple_Model!$B$14*Dummy_Variables!E60+Multiple_Model!$B$15*Dummy_Variables!F60+Multiple_Model!$B$16*Dummy_Variables!G60+Multiple_Model!$B$17*Dummy_Variables!I60+Multiple_Model!$B$18*Dummy_Variables!L60+Multiple_Model!$B$19*Dummy_Variables!H60+Multiple_Model!$B$20*Dummy_Variables!K60+Multiple_Model!$B$21*Dummy_Variables!J60+Multiple_Model!$B$22*Dummy_Variables!O60+Multiple_Model!$B$23*Dummy_Variables!P60+Multiple_Model!$B$24*Dummy_Variables!Q60+Multiple_Model!$B$25*Dummy_Variables!R60+Multiple_Model!$B$26*Dummy_Variables!S60+Multiple_Model!$B$27*Dummy_Variables!T60</f>
        <v>677890.80196008668</v>
      </c>
      <c r="G60" s="3">
        <f>E60-F60</f>
        <v>-60599.65196008666</v>
      </c>
      <c r="H60" s="3">
        <f>ABS(G60)</f>
        <v>60599.65196008666</v>
      </c>
      <c r="I60" t="str">
        <f>IF(G60&gt;0,"Under-predicted","Over-predicted")</f>
        <v>Over-predicted</v>
      </c>
    </row>
    <row r="61" spans="1:9">
      <c r="A61" t="s">
        <v>36</v>
      </c>
      <c r="B61" s="2">
        <v>45748</v>
      </c>
      <c r="C61" t="s">
        <v>15</v>
      </c>
      <c r="D61" t="s">
        <v>21</v>
      </c>
      <c r="E61" s="3">
        <v>553756.43000000005</v>
      </c>
      <c r="F61" s="3">
        <f>Multiple_Model!$B$13+Multiple_Model!$B$14*Dummy_Variables!E61+Multiple_Model!$B$15*Dummy_Variables!F61+Multiple_Model!$B$16*Dummy_Variables!G61+Multiple_Model!$B$17*Dummy_Variables!I61+Multiple_Model!$B$18*Dummy_Variables!L61+Multiple_Model!$B$19*Dummy_Variables!H61+Multiple_Model!$B$20*Dummy_Variables!K61+Multiple_Model!$B$21*Dummy_Variables!J61+Multiple_Model!$B$22*Dummy_Variables!O61+Multiple_Model!$B$23*Dummy_Variables!P61+Multiple_Model!$B$24*Dummy_Variables!Q61+Multiple_Model!$B$25*Dummy_Variables!R61+Multiple_Model!$B$26*Dummy_Variables!S61+Multiple_Model!$B$27*Dummy_Variables!T61</f>
        <v>578728.44176233618</v>
      </c>
      <c r="G61" s="3">
        <f>E61-F61</f>
        <v>-24972.011762336129</v>
      </c>
      <c r="H61" s="3">
        <f>ABS(G61)</f>
        <v>24972.011762336129</v>
      </c>
      <c r="I61" t="str">
        <f>IF(G61&gt;0,"Under-predicted","Over-predicted")</f>
        <v>Over-predicted</v>
      </c>
    </row>
    <row r="62" spans="1:9">
      <c r="A62" t="s">
        <v>37</v>
      </c>
      <c r="B62" s="2">
        <v>45658</v>
      </c>
      <c r="C62" t="s">
        <v>24</v>
      </c>
      <c r="D62" t="s">
        <v>18</v>
      </c>
      <c r="E62" s="3">
        <v>749559.71</v>
      </c>
      <c r="F62" s="3">
        <f>Multiple_Model!$B$13+Multiple_Model!$B$14*Dummy_Variables!E62+Multiple_Model!$B$15*Dummy_Variables!F62+Multiple_Model!$B$16*Dummy_Variables!G62+Multiple_Model!$B$17*Dummy_Variables!I62+Multiple_Model!$B$18*Dummy_Variables!L62+Multiple_Model!$B$19*Dummy_Variables!H62+Multiple_Model!$B$20*Dummy_Variables!K62+Multiple_Model!$B$21*Dummy_Variables!J62+Multiple_Model!$B$22*Dummy_Variables!O62+Multiple_Model!$B$23*Dummy_Variables!P62+Multiple_Model!$B$24*Dummy_Variables!Q62+Multiple_Model!$B$25*Dummy_Variables!R62+Multiple_Model!$B$26*Dummy_Variables!S62+Multiple_Model!$B$27*Dummy_Variables!T62</f>
        <v>707714.7752011331</v>
      </c>
      <c r="G62" s="3">
        <f>E62-F62</f>
        <v>41844.93479886686</v>
      </c>
      <c r="H62" s="3">
        <f>ABS(G62)</f>
        <v>41844.93479886686</v>
      </c>
      <c r="I62" t="str">
        <f>IF(G62&gt;0,"Under-predicted","Over-predicted")</f>
        <v>Under-predicted</v>
      </c>
    </row>
    <row r="63" spans="1:9">
      <c r="A63" t="s">
        <v>37</v>
      </c>
      <c r="B63" s="2">
        <v>45689</v>
      </c>
      <c r="C63" t="s">
        <v>24</v>
      </c>
      <c r="D63" t="s">
        <v>18</v>
      </c>
      <c r="E63" s="3">
        <v>615966.48</v>
      </c>
      <c r="F63" s="3">
        <f>Multiple_Model!$B$13+Multiple_Model!$B$14*Dummy_Variables!E63+Multiple_Model!$B$15*Dummy_Variables!F63+Multiple_Model!$B$16*Dummy_Variables!G63+Multiple_Model!$B$17*Dummy_Variables!I63+Multiple_Model!$B$18*Dummy_Variables!L63+Multiple_Model!$B$19*Dummy_Variables!H63+Multiple_Model!$B$20*Dummy_Variables!K63+Multiple_Model!$B$21*Dummy_Variables!J63+Multiple_Model!$B$22*Dummy_Variables!O63+Multiple_Model!$B$23*Dummy_Variables!P63+Multiple_Model!$B$24*Dummy_Variables!Q63+Multiple_Model!$B$25*Dummy_Variables!R63+Multiple_Model!$B$26*Dummy_Variables!S63+Multiple_Model!$B$27*Dummy_Variables!T63</f>
        <v>581248.66309963434</v>
      </c>
      <c r="G63" s="3">
        <f>E63-F63</f>
        <v>34717.816900365637</v>
      </c>
      <c r="H63" s="3">
        <f>ABS(G63)</f>
        <v>34717.816900365637</v>
      </c>
      <c r="I63" t="str">
        <f>IF(G63&gt;0,"Under-predicted","Over-predicted")</f>
        <v>Under-predicted</v>
      </c>
    </row>
    <row r="64" spans="1:9">
      <c r="A64" t="s">
        <v>37</v>
      </c>
      <c r="B64" s="2">
        <v>45717</v>
      </c>
      <c r="C64" t="s">
        <v>24</v>
      </c>
      <c r="D64" t="s">
        <v>18</v>
      </c>
      <c r="E64" s="3">
        <v>572011.19999999995</v>
      </c>
      <c r="F64" s="3">
        <f>Multiple_Model!$B$13+Multiple_Model!$B$14*Dummy_Variables!E64+Multiple_Model!$B$15*Dummy_Variables!F64+Multiple_Model!$B$16*Dummy_Variables!G64+Multiple_Model!$B$17*Dummy_Variables!I64+Multiple_Model!$B$18*Dummy_Variables!L64+Multiple_Model!$B$19*Dummy_Variables!H64+Multiple_Model!$B$20*Dummy_Variables!K64+Multiple_Model!$B$21*Dummy_Variables!J64+Multiple_Model!$B$22*Dummy_Variables!O64+Multiple_Model!$B$23*Dummy_Variables!P64+Multiple_Model!$B$24*Dummy_Variables!Q64+Multiple_Model!$B$25*Dummy_Variables!R64+Multiple_Model!$B$26*Dummy_Variables!S64+Multiple_Model!$B$27*Dummy_Variables!T64</f>
        <v>571060.33935661183</v>
      </c>
      <c r="G64" s="3">
        <f>E64-F64</f>
        <v>950.86064338812139</v>
      </c>
      <c r="H64" s="3">
        <f>ABS(G64)</f>
        <v>950.86064338812139</v>
      </c>
      <c r="I64" t="str">
        <f>IF(G64&gt;0,"Under-predicted","Over-predicted")</f>
        <v>Under-predicted</v>
      </c>
    </row>
    <row r="65" spans="1:9">
      <c r="A65" t="s">
        <v>37</v>
      </c>
      <c r="B65" s="2">
        <v>45748</v>
      </c>
      <c r="C65" t="s">
        <v>24</v>
      </c>
      <c r="D65" t="s">
        <v>18</v>
      </c>
      <c r="E65" s="3">
        <v>761860.19</v>
      </c>
      <c r="F65" s="3">
        <f>Multiple_Model!$B$13+Multiple_Model!$B$14*Dummy_Variables!E65+Multiple_Model!$B$15*Dummy_Variables!F65+Multiple_Model!$B$16*Dummy_Variables!G65+Multiple_Model!$B$17*Dummy_Variables!I65+Multiple_Model!$B$18*Dummy_Variables!L65+Multiple_Model!$B$19*Dummy_Variables!H65+Multiple_Model!$B$20*Dummy_Variables!K65+Multiple_Model!$B$21*Dummy_Variables!J65+Multiple_Model!$B$22*Dummy_Variables!O65+Multiple_Model!$B$23*Dummy_Variables!P65+Multiple_Model!$B$24*Dummy_Variables!Q65+Multiple_Model!$B$25*Dummy_Variables!R65+Multiple_Model!$B$26*Dummy_Variables!S65+Multiple_Model!$B$27*Dummy_Variables!T65</f>
        <v>730937.86086063355</v>
      </c>
      <c r="G65" s="3">
        <f>E65-F65</f>
        <v>30922.329139366397</v>
      </c>
      <c r="H65" s="3">
        <f>ABS(G65)</f>
        <v>30922.329139366397</v>
      </c>
      <c r="I65" t="str">
        <f>IF(G65&gt;0,"Under-predicted","Over-predicted")</f>
        <v>Under-predicted</v>
      </c>
    </row>
    <row r="66" spans="1:9">
      <c r="A66" t="s">
        <v>38</v>
      </c>
      <c r="B66" s="2">
        <v>45658</v>
      </c>
      <c r="C66" t="s">
        <v>27</v>
      </c>
      <c r="D66" t="s">
        <v>18</v>
      </c>
      <c r="E66" s="3">
        <v>784502.68</v>
      </c>
      <c r="F66" s="3">
        <f>Multiple_Model!$B$13+Multiple_Model!$B$14*Dummy_Variables!E66+Multiple_Model!$B$15*Dummy_Variables!F66+Multiple_Model!$B$16*Dummy_Variables!G66+Multiple_Model!$B$17*Dummy_Variables!I66+Multiple_Model!$B$18*Dummy_Variables!L66+Multiple_Model!$B$19*Dummy_Variables!H66+Multiple_Model!$B$20*Dummy_Variables!K66+Multiple_Model!$B$21*Dummy_Variables!J66+Multiple_Model!$B$22*Dummy_Variables!O66+Multiple_Model!$B$23*Dummy_Variables!P66+Multiple_Model!$B$24*Dummy_Variables!Q66+Multiple_Model!$B$25*Dummy_Variables!R66+Multiple_Model!$B$26*Dummy_Variables!S66+Multiple_Model!$B$27*Dummy_Variables!T66</f>
        <v>826970.20370479778</v>
      </c>
      <c r="G66" s="3">
        <f>E66-F66</f>
        <v>-42467.523704797728</v>
      </c>
      <c r="H66" s="3">
        <f>ABS(G66)</f>
        <v>42467.523704797728</v>
      </c>
      <c r="I66" t="str">
        <f>IF(G66&gt;0,"Under-predicted","Over-predicted")</f>
        <v>Over-predicted</v>
      </c>
    </row>
    <row r="67" spans="1:9">
      <c r="A67" t="s">
        <v>38</v>
      </c>
      <c r="B67" s="2">
        <v>45689</v>
      </c>
      <c r="C67" t="s">
        <v>27</v>
      </c>
      <c r="D67" t="s">
        <v>18</v>
      </c>
      <c r="E67" s="3">
        <v>717141.55</v>
      </c>
      <c r="F67" s="3">
        <f>Multiple_Model!$B$13+Multiple_Model!$B$14*Dummy_Variables!E67+Multiple_Model!$B$15*Dummy_Variables!F67+Multiple_Model!$B$16*Dummy_Variables!G67+Multiple_Model!$B$17*Dummy_Variables!I67+Multiple_Model!$B$18*Dummy_Variables!L67+Multiple_Model!$B$19*Dummy_Variables!H67+Multiple_Model!$B$20*Dummy_Variables!K67+Multiple_Model!$B$21*Dummy_Variables!J67+Multiple_Model!$B$22*Dummy_Variables!O67+Multiple_Model!$B$23*Dummy_Variables!P67+Multiple_Model!$B$24*Dummy_Variables!Q67+Multiple_Model!$B$25*Dummy_Variables!R67+Multiple_Model!$B$26*Dummy_Variables!S67+Multiple_Model!$B$27*Dummy_Variables!T67</f>
        <v>716016.14895647229</v>
      </c>
      <c r="G67" s="3">
        <f>E67-F67</f>
        <v>1125.4010435277596</v>
      </c>
      <c r="H67" s="3">
        <f>ABS(G67)</f>
        <v>1125.4010435277596</v>
      </c>
      <c r="I67" t="str">
        <f>IF(G67&gt;0,"Under-predicted","Over-predicted")</f>
        <v>Under-predicted</v>
      </c>
    </row>
    <row r="68" spans="1:9">
      <c r="A68" t="s">
        <v>38</v>
      </c>
      <c r="B68" s="2">
        <v>45717</v>
      </c>
      <c r="C68" t="s">
        <v>27</v>
      </c>
      <c r="D68" t="s">
        <v>18</v>
      </c>
      <c r="E68" s="3">
        <v>685379.08</v>
      </c>
      <c r="F68" s="3">
        <f>Multiple_Model!$B$13+Multiple_Model!$B$14*Dummy_Variables!E68+Multiple_Model!$B$15*Dummy_Variables!F68+Multiple_Model!$B$16*Dummy_Variables!G68+Multiple_Model!$B$17*Dummy_Variables!I68+Multiple_Model!$B$18*Dummy_Variables!L68+Multiple_Model!$B$19*Dummy_Variables!H68+Multiple_Model!$B$20*Dummy_Variables!K68+Multiple_Model!$B$21*Dummy_Variables!J68+Multiple_Model!$B$22*Dummy_Variables!O68+Multiple_Model!$B$23*Dummy_Variables!P68+Multiple_Model!$B$24*Dummy_Variables!Q68+Multiple_Model!$B$25*Dummy_Variables!R68+Multiple_Model!$B$26*Dummy_Variables!S68+Multiple_Model!$B$27*Dummy_Variables!T68</f>
        <v>805279.85124378861</v>
      </c>
      <c r="G68" s="3">
        <f>E68-F68</f>
        <v>-119900.77124378865</v>
      </c>
      <c r="H68" s="3">
        <f>ABS(G68)</f>
        <v>119900.77124378865</v>
      </c>
      <c r="I68" t="str">
        <f>IF(G68&gt;0,"Under-predicted","Over-predicted")</f>
        <v>Over-predicted</v>
      </c>
    </row>
    <row r="69" spans="1:9">
      <c r="A69" t="s">
        <v>38</v>
      </c>
      <c r="B69" s="2">
        <v>45748</v>
      </c>
      <c r="C69" t="s">
        <v>27</v>
      </c>
      <c r="D69" t="s">
        <v>18</v>
      </c>
      <c r="E69" s="3">
        <v>740496.65</v>
      </c>
      <c r="F69" s="3">
        <f>Multiple_Model!$B$13+Multiple_Model!$B$14*Dummy_Variables!E69+Multiple_Model!$B$15*Dummy_Variables!F69+Multiple_Model!$B$16*Dummy_Variables!G69+Multiple_Model!$B$17*Dummy_Variables!I69+Multiple_Model!$B$18*Dummy_Variables!L69+Multiple_Model!$B$19*Dummy_Variables!H69+Multiple_Model!$B$20*Dummy_Variables!K69+Multiple_Model!$B$21*Dummy_Variables!J69+Multiple_Model!$B$22*Dummy_Variables!O69+Multiple_Model!$B$23*Dummy_Variables!P69+Multiple_Model!$B$24*Dummy_Variables!Q69+Multiple_Model!$B$25*Dummy_Variables!R69+Multiple_Model!$B$26*Dummy_Variables!S69+Multiple_Model!$B$27*Dummy_Variables!T69</f>
        <v>740650.61275955173</v>
      </c>
      <c r="G69" s="3">
        <f>E69-F69</f>
        <v>-153.96275955170859</v>
      </c>
      <c r="H69" s="3">
        <f>ABS(G69)</f>
        <v>153.96275955170859</v>
      </c>
      <c r="I69" t="str">
        <f>IF(G69&gt;0,"Under-predicted","Over-predicted")</f>
        <v>Over-predicted</v>
      </c>
    </row>
    <row r="70" spans="1:9">
      <c r="A70" t="s">
        <v>39</v>
      </c>
      <c r="B70" s="2">
        <v>45658</v>
      </c>
      <c r="C70" t="s">
        <v>15</v>
      </c>
      <c r="D70" t="s">
        <v>18</v>
      </c>
      <c r="E70" s="3">
        <v>661927.14</v>
      </c>
      <c r="F70" s="3">
        <f>Multiple_Model!$B$13+Multiple_Model!$B$14*Dummy_Variables!E70+Multiple_Model!$B$15*Dummy_Variables!F70+Multiple_Model!$B$16*Dummy_Variables!G70+Multiple_Model!$B$17*Dummy_Variables!I70+Multiple_Model!$B$18*Dummy_Variables!L70+Multiple_Model!$B$19*Dummy_Variables!H70+Multiple_Model!$B$20*Dummy_Variables!K70+Multiple_Model!$B$21*Dummy_Variables!J70+Multiple_Model!$B$22*Dummy_Variables!O70+Multiple_Model!$B$23*Dummy_Variables!P70+Multiple_Model!$B$24*Dummy_Variables!Q70+Multiple_Model!$B$25*Dummy_Variables!R70+Multiple_Model!$B$26*Dummy_Variables!S70+Multiple_Model!$B$27*Dummy_Variables!T70</f>
        <v>597662.18267476384</v>
      </c>
      <c r="G70" s="3">
        <f>E70-F70</f>
        <v>64264.957325236173</v>
      </c>
      <c r="H70" s="3">
        <f>ABS(G70)</f>
        <v>64264.957325236173</v>
      </c>
      <c r="I70" t="str">
        <f>IF(G70&gt;0,"Under-predicted","Over-predicted")</f>
        <v>Under-predicted</v>
      </c>
    </row>
    <row r="71" spans="1:9">
      <c r="A71" t="s">
        <v>39</v>
      </c>
      <c r="B71" s="2">
        <v>45689</v>
      </c>
      <c r="C71" t="s">
        <v>15</v>
      </c>
      <c r="D71" t="s">
        <v>18</v>
      </c>
      <c r="E71" s="3">
        <v>479050.5</v>
      </c>
      <c r="F71" s="3">
        <f>Multiple_Model!$B$13+Multiple_Model!$B$14*Dummy_Variables!E71+Multiple_Model!$B$15*Dummy_Variables!F71+Multiple_Model!$B$16*Dummy_Variables!G71+Multiple_Model!$B$17*Dummy_Variables!I71+Multiple_Model!$B$18*Dummy_Variables!L71+Multiple_Model!$B$19*Dummy_Variables!H71+Multiple_Model!$B$20*Dummy_Variables!K71+Multiple_Model!$B$21*Dummy_Variables!J71+Multiple_Model!$B$22*Dummy_Variables!O71+Multiple_Model!$B$23*Dummy_Variables!P71+Multiple_Model!$B$24*Dummy_Variables!Q71+Multiple_Model!$B$25*Dummy_Variables!R71+Multiple_Model!$B$26*Dummy_Variables!S71+Multiple_Model!$B$27*Dummy_Variables!T71</f>
        <v>498329.90884616907</v>
      </c>
      <c r="G71" s="3">
        <f>E71-F71</f>
        <v>-19279.40884616907</v>
      </c>
      <c r="H71" s="3">
        <f>ABS(G71)</f>
        <v>19279.40884616907</v>
      </c>
      <c r="I71" t="str">
        <f>IF(G71&gt;0,"Under-predicted","Over-predicted")</f>
        <v>Over-predicted</v>
      </c>
    </row>
    <row r="72" spans="1:9">
      <c r="A72" t="s">
        <v>39</v>
      </c>
      <c r="B72" s="2">
        <v>45717</v>
      </c>
      <c r="C72" t="s">
        <v>15</v>
      </c>
      <c r="D72" t="s">
        <v>18</v>
      </c>
      <c r="E72" s="3">
        <v>605023.87</v>
      </c>
      <c r="F72" s="3">
        <f>Multiple_Model!$B$13+Multiple_Model!$B$14*Dummy_Variables!E72+Multiple_Model!$B$15*Dummy_Variables!F72+Multiple_Model!$B$16*Dummy_Variables!G72+Multiple_Model!$B$17*Dummy_Variables!I72+Multiple_Model!$B$18*Dummy_Variables!L72+Multiple_Model!$B$19*Dummy_Variables!H72+Multiple_Model!$B$20*Dummy_Variables!K72+Multiple_Model!$B$21*Dummy_Variables!J72+Multiple_Model!$B$22*Dummy_Variables!O72+Multiple_Model!$B$23*Dummy_Variables!P72+Multiple_Model!$B$24*Dummy_Variables!Q72+Multiple_Model!$B$25*Dummy_Variables!R72+Multiple_Model!$B$26*Dummy_Variables!S72+Multiple_Model!$B$27*Dummy_Variables!T72</f>
        <v>577121.84392596921</v>
      </c>
      <c r="G72" s="3">
        <f>E72-F72</f>
        <v>27902.026074030786</v>
      </c>
      <c r="H72" s="3">
        <f>ABS(G72)</f>
        <v>27902.026074030786</v>
      </c>
      <c r="I72" t="str">
        <f>IF(G72&gt;0,"Under-predicted","Over-predicted")</f>
        <v>Under-predicted</v>
      </c>
    </row>
    <row r="73" spans="1:9">
      <c r="A73" t="s">
        <v>39</v>
      </c>
      <c r="B73" s="2">
        <v>45748</v>
      </c>
      <c r="C73" t="s">
        <v>15</v>
      </c>
      <c r="D73" t="s">
        <v>18</v>
      </c>
      <c r="E73" s="3">
        <v>674774.09</v>
      </c>
      <c r="F73" s="3">
        <f>Multiple_Model!$B$13+Multiple_Model!$B$14*Dummy_Variables!E73+Multiple_Model!$B$15*Dummy_Variables!F73+Multiple_Model!$B$16*Dummy_Variables!G73+Multiple_Model!$B$17*Dummy_Variables!I73+Multiple_Model!$B$18*Dummy_Variables!L73+Multiple_Model!$B$19*Dummy_Variables!H73+Multiple_Model!$B$20*Dummy_Variables!K73+Multiple_Model!$B$21*Dummy_Variables!J73+Multiple_Model!$B$22*Dummy_Variables!O73+Multiple_Model!$B$23*Dummy_Variables!P73+Multiple_Model!$B$24*Dummy_Variables!Q73+Multiple_Model!$B$25*Dummy_Variables!R73+Multiple_Model!$B$26*Dummy_Variables!S73+Multiple_Model!$B$27*Dummy_Variables!T73</f>
        <v>620731.02569284989</v>
      </c>
      <c r="G73" s="3">
        <f>E73-F73</f>
        <v>54043.064307150082</v>
      </c>
      <c r="H73" s="3">
        <f>ABS(G73)</f>
        <v>54043.064307150082</v>
      </c>
      <c r="I73" t="str">
        <f>IF(G73&gt;0,"Under-predicted","Over-predicted")</f>
        <v>Under-predicted</v>
      </c>
    </row>
    <row r="74" spans="1:9">
      <c r="A74" t="s">
        <v>40</v>
      </c>
      <c r="B74" s="2">
        <v>45658</v>
      </c>
      <c r="C74" t="s">
        <v>15</v>
      </c>
      <c r="D74" t="s">
        <v>16</v>
      </c>
      <c r="E74" s="3">
        <v>616069.41</v>
      </c>
      <c r="F74" s="3">
        <f>Multiple_Model!$B$13+Multiple_Model!$B$14*Dummy_Variables!E74+Multiple_Model!$B$15*Dummy_Variables!F74+Multiple_Model!$B$16*Dummy_Variables!G74+Multiple_Model!$B$17*Dummy_Variables!I74+Multiple_Model!$B$18*Dummy_Variables!L74+Multiple_Model!$B$19*Dummy_Variables!H74+Multiple_Model!$B$20*Dummy_Variables!K74+Multiple_Model!$B$21*Dummy_Variables!J74+Multiple_Model!$B$22*Dummy_Variables!O74+Multiple_Model!$B$23*Dummy_Variables!P74+Multiple_Model!$B$24*Dummy_Variables!Q74+Multiple_Model!$B$25*Dummy_Variables!R74+Multiple_Model!$B$26*Dummy_Variables!S74+Multiple_Model!$B$27*Dummy_Variables!T74</f>
        <v>574198.58719516825</v>
      </c>
      <c r="G74" s="3">
        <f>E74-F74</f>
        <v>41870.822804831783</v>
      </c>
      <c r="H74" s="3">
        <f>ABS(G74)</f>
        <v>41870.822804831783</v>
      </c>
      <c r="I74" t="str">
        <f>IF(G74&gt;0,"Under-predicted","Over-predicted")</f>
        <v>Under-predicted</v>
      </c>
    </row>
    <row r="75" spans="1:9">
      <c r="A75" t="s">
        <v>40</v>
      </c>
      <c r="B75" s="2">
        <v>45689</v>
      </c>
      <c r="C75" t="s">
        <v>15</v>
      </c>
      <c r="D75" t="s">
        <v>16</v>
      </c>
      <c r="E75" s="3">
        <v>630829.93999999994</v>
      </c>
      <c r="F75" s="3">
        <f>Multiple_Model!$B$13+Multiple_Model!$B$14*Dummy_Variables!E75+Multiple_Model!$B$15*Dummy_Variables!F75+Multiple_Model!$B$16*Dummy_Variables!G75+Multiple_Model!$B$17*Dummy_Variables!I75+Multiple_Model!$B$18*Dummy_Variables!L75+Multiple_Model!$B$19*Dummy_Variables!H75+Multiple_Model!$B$20*Dummy_Variables!K75+Multiple_Model!$B$21*Dummy_Variables!J75+Multiple_Model!$B$22*Dummy_Variables!O75+Multiple_Model!$B$23*Dummy_Variables!P75+Multiple_Model!$B$24*Dummy_Variables!Q75+Multiple_Model!$B$25*Dummy_Variables!R75+Multiple_Model!$B$26*Dummy_Variables!S75+Multiple_Model!$B$27*Dummy_Variables!T75</f>
        <v>677627.88400432444</v>
      </c>
      <c r="G75" s="3">
        <f>E75-F75</f>
        <v>-46797.944004324498</v>
      </c>
      <c r="H75" s="3">
        <f>ABS(G75)</f>
        <v>46797.944004324498</v>
      </c>
      <c r="I75" t="str">
        <f>IF(G75&gt;0,"Under-predicted","Over-predicted")</f>
        <v>Over-predicted</v>
      </c>
    </row>
    <row r="76" spans="1:9">
      <c r="A76" t="s">
        <v>40</v>
      </c>
      <c r="B76" s="2">
        <v>45717</v>
      </c>
      <c r="C76" t="s">
        <v>15</v>
      </c>
      <c r="D76" t="s">
        <v>16</v>
      </c>
      <c r="E76" s="3">
        <v>788087.68</v>
      </c>
      <c r="F76" s="3">
        <f>Multiple_Model!$B$13+Multiple_Model!$B$14*Dummy_Variables!E76+Multiple_Model!$B$15*Dummy_Variables!F76+Multiple_Model!$B$16*Dummy_Variables!G76+Multiple_Model!$B$17*Dummy_Variables!I76+Multiple_Model!$B$18*Dummy_Variables!L76+Multiple_Model!$B$19*Dummy_Variables!H76+Multiple_Model!$B$20*Dummy_Variables!K76+Multiple_Model!$B$21*Dummy_Variables!J76+Multiple_Model!$B$22*Dummy_Variables!O76+Multiple_Model!$B$23*Dummy_Variables!P76+Multiple_Model!$B$24*Dummy_Variables!Q76+Multiple_Model!$B$25*Dummy_Variables!R76+Multiple_Model!$B$26*Dummy_Variables!S76+Multiple_Model!$B$27*Dummy_Variables!T76</f>
        <v>728448.1408612387</v>
      </c>
      <c r="G76" s="3">
        <f>E76-F76</f>
        <v>59639.539138761349</v>
      </c>
      <c r="H76" s="3">
        <f>ABS(G76)</f>
        <v>59639.539138761349</v>
      </c>
      <c r="I76" t="str">
        <f>IF(G76&gt;0,"Under-predicted","Over-predicted")</f>
        <v>Under-predicted</v>
      </c>
    </row>
    <row r="77" spans="1:9">
      <c r="A77" t="s">
        <v>40</v>
      </c>
      <c r="B77" s="2">
        <v>45748</v>
      </c>
      <c r="C77" t="s">
        <v>15</v>
      </c>
      <c r="D77" t="s">
        <v>16</v>
      </c>
      <c r="E77" s="3">
        <v>680840.36</v>
      </c>
      <c r="F77" s="3">
        <f>Multiple_Model!$B$13+Multiple_Model!$B$14*Dummy_Variables!E77+Multiple_Model!$B$15*Dummy_Variables!F77+Multiple_Model!$B$16*Dummy_Variables!G77+Multiple_Model!$B$17*Dummy_Variables!I77+Multiple_Model!$B$18*Dummy_Variables!L77+Multiple_Model!$B$19*Dummy_Variables!H77+Multiple_Model!$B$20*Dummy_Variables!K77+Multiple_Model!$B$21*Dummy_Variables!J77+Multiple_Model!$B$22*Dummy_Variables!O77+Multiple_Model!$B$23*Dummy_Variables!P77+Multiple_Model!$B$24*Dummy_Variables!Q77+Multiple_Model!$B$25*Dummy_Variables!R77+Multiple_Model!$B$26*Dummy_Variables!S77+Multiple_Model!$B$27*Dummy_Variables!T77</f>
        <v>704862.12756933435</v>
      </c>
      <c r="G77" s="3">
        <f>E77-F77</f>
        <v>-24021.767569334363</v>
      </c>
      <c r="H77" s="3">
        <f>ABS(G77)</f>
        <v>24021.767569334363</v>
      </c>
      <c r="I77" t="str">
        <f>IF(G77&gt;0,"Under-predicted","Over-predicted")</f>
        <v>Over-predicted</v>
      </c>
    </row>
    <row r="78" spans="1:9">
      <c r="A78" t="s">
        <v>41</v>
      </c>
      <c r="B78" s="2">
        <v>45658</v>
      </c>
      <c r="C78" t="s">
        <v>24</v>
      </c>
      <c r="D78" t="s">
        <v>18</v>
      </c>
      <c r="E78" s="3">
        <v>643657.47</v>
      </c>
      <c r="F78" s="3">
        <f>Multiple_Model!$B$13+Multiple_Model!$B$14*Dummy_Variables!E78+Multiple_Model!$B$15*Dummy_Variables!F78+Multiple_Model!$B$16*Dummy_Variables!G78+Multiple_Model!$B$17*Dummy_Variables!I78+Multiple_Model!$B$18*Dummy_Variables!L78+Multiple_Model!$B$19*Dummy_Variables!H78+Multiple_Model!$B$20*Dummy_Variables!K78+Multiple_Model!$B$21*Dummy_Variables!J78+Multiple_Model!$B$22*Dummy_Variables!O78+Multiple_Model!$B$23*Dummy_Variables!P78+Multiple_Model!$B$24*Dummy_Variables!Q78+Multiple_Model!$B$25*Dummy_Variables!R78+Multiple_Model!$B$26*Dummy_Variables!S78+Multiple_Model!$B$27*Dummy_Variables!T78</f>
        <v>649748.48213380494</v>
      </c>
      <c r="G78" s="3">
        <f>E78-F78</f>
        <v>-6091.0121338049648</v>
      </c>
      <c r="H78" s="3">
        <f>ABS(G78)</f>
        <v>6091.0121338049648</v>
      </c>
      <c r="I78" t="str">
        <f>IF(G78&gt;0,"Under-predicted","Over-predicted")</f>
        <v>Over-predicted</v>
      </c>
    </row>
    <row r="79" spans="1:9">
      <c r="A79" t="s">
        <v>41</v>
      </c>
      <c r="B79" s="2">
        <v>45689</v>
      </c>
      <c r="C79" t="s">
        <v>24</v>
      </c>
      <c r="D79" t="s">
        <v>18</v>
      </c>
      <c r="E79" s="3">
        <v>691112.6</v>
      </c>
      <c r="F79" s="3">
        <f>Multiple_Model!$B$13+Multiple_Model!$B$14*Dummy_Variables!E79+Multiple_Model!$B$15*Dummy_Variables!F79+Multiple_Model!$B$16*Dummy_Variables!G79+Multiple_Model!$B$17*Dummy_Variables!I79+Multiple_Model!$B$18*Dummy_Variables!L79+Multiple_Model!$B$19*Dummy_Variables!H79+Multiple_Model!$B$20*Dummy_Variables!K79+Multiple_Model!$B$21*Dummy_Variables!J79+Multiple_Model!$B$22*Dummy_Variables!O79+Multiple_Model!$B$23*Dummy_Variables!P79+Multiple_Model!$B$24*Dummy_Variables!Q79+Multiple_Model!$B$25*Dummy_Variables!R79+Multiple_Model!$B$26*Dummy_Variables!S79+Multiple_Model!$B$27*Dummy_Variables!T79</f>
        <v>640684.56282501749</v>
      </c>
      <c r="G79" s="3">
        <f>E79-F79</f>
        <v>50428.037174982484</v>
      </c>
      <c r="H79" s="3">
        <f>ABS(G79)</f>
        <v>50428.037174982484</v>
      </c>
      <c r="I79" t="str">
        <f>IF(G79&gt;0,"Under-predicted","Over-predicted")</f>
        <v>Under-predicted</v>
      </c>
    </row>
    <row r="80" spans="1:9">
      <c r="A80" t="s">
        <v>41</v>
      </c>
      <c r="B80" s="2">
        <v>45717</v>
      </c>
      <c r="C80" t="s">
        <v>24</v>
      </c>
      <c r="D80" t="s">
        <v>18</v>
      </c>
      <c r="E80" s="3">
        <v>776922.17</v>
      </c>
      <c r="F80" s="3">
        <f>Multiple_Model!$B$13+Multiple_Model!$B$14*Dummy_Variables!E80+Multiple_Model!$B$15*Dummy_Variables!F80+Multiple_Model!$B$16*Dummy_Variables!G80+Multiple_Model!$B$17*Dummy_Variables!I80+Multiple_Model!$B$18*Dummy_Variables!L80+Multiple_Model!$B$19*Dummy_Variables!H80+Multiple_Model!$B$20*Dummy_Variables!K80+Multiple_Model!$B$21*Dummy_Variables!J80+Multiple_Model!$B$22*Dummy_Variables!O80+Multiple_Model!$B$23*Dummy_Variables!P80+Multiple_Model!$B$24*Dummy_Variables!Q80+Multiple_Model!$B$25*Dummy_Variables!R80+Multiple_Model!$B$26*Dummy_Variables!S80+Multiple_Model!$B$27*Dummy_Variables!T80</f>
        <v>722752.56832194002</v>
      </c>
      <c r="G80" s="3">
        <f>E80-F80</f>
        <v>54169.601678060018</v>
      </c>
      <c r="H80" s="3">
        <f>ABS(G80)</f>
        <v>54169.601678060018</v>
      </c>
      <c r="I80" t="str">
        <f>IF(G80&gt;0,"Under-predicted","Over-predicted")</f>
        <v>Under-predicted</v>
      </c>
    </row>
    <row r="81" spans="1:9">
      <c r="A81" t="s">
        <v>41</v>
      </c>
      <c r="B81" s="2">
        <v>45748</v>
      </c>
      <c r="C81" t="s">
        <v>24</v>
      </c>
      <c r="D81" t="s">
        <v>18</v>
      </c>
      <c r="E81" s="3">
        <v>636561.34</v>
      </c>
      <c r="F81" s="3">
        <f>Multiple_Model!$B$13+Multiple_Model!$B$14*Dummy_Variables!E81+Multiple_Model!$B$15*Dummy_Variables!F81+Multiple_Model!$B$16*Dummy_Variables!G81+Multiple_Model!$B$17*Dummy_Variables!I81+Multiple_Model!$B$18*Dummy_Variables!L81+Multiple_Model!$B$19*Dummy_Variables!H81+Multiple_Model!$B$20*Dummy_Variables!K81+Multiple_Model!$B$21*Dummy_Variables!J81+Multiple_Model!$B$22*Dummy_Variables!O81+Multiple_Model!$B$23*Dummy_Variables!P81+Multiple_Model!$B$24*Dummy_Variables!Q81+Multiple_Model!$B$25*Dummy_Variables!R81+Multiple_Model!$B$26*Dummy_Variables!S81+Multiple_Model!$B$27*Dummy_Variables!T81</f>
        <v>660108.81326293072</v>
      </c>
      <c r="G81" s="3">
        <f>E81-F81</f>
        <v>-23547.473262930755</v>
      </c>
      <c r="H81" s="3">
        <f>ABS(G81)</f>
        <v>23547.473262930755</v>
      </c>
      <c r="I81" t="str">
        <f>IF(G81&gt;0,"Under-predicted","Over-predicted")</f>
        <v>Over-predicted</v>
      </c>
    </row>
    <row r="82" spans="1:9">
      <c r="A82" t="s">
        <v>42</v>
      </c>
      <c r="B82" s="2">
        <v>45658</v>
      </c>
      <c r="C82" t="s">
        <v>27</v>
      </c>
      <c r="D82" t="s">
        <v>28</v>
      </c>
      <c r="E82" s="3">
        <v>621369.57999999996</v>
      </c>
      <c r="F82" s="3">
        <f>Multiple_Model!$B$13+Multiple_Model!$B$14*Dummy_Variables!E82+Multiple_Model!$B$15*Dummy_Variables!F82+Multiple_Model!$B$16*Dummy_Variables!G82+Multiple_Model!$B$17*Dummy_Variables!I82+Multiple_Model!$B$18*Dummy_Variables!L82+Multiple_Model!$B$19*Dummy_Variables!H82+Multiple_Model!$B$20*Dummy_Variables!K82+Multiple_Model!$B$21*Dummy_Variables!J82+Multiple_Model!$B$22*Dummy_Variables!O82+Multiple_Model!$B$23*Dummy_Variables!P82+Multiple_Model!$B$24*Dummy_Variables!Q82+Multiple_Model!$B$25*Dummy_Variables!R82+Multiple_Model!$B$26*Dummy_Variables!S82+Multiple_Model!$B$27*Dummy_Variables!T82</f>
        <v>662989.54833338631</v>
      </c>
      <c r="G82" s="3">
        <f>E82-F82</f>
        <v>-41619.96833338635</v>
      </c>
      <c r="H82" s="3">
        <f>ABS(G82)</f>
        <v>41619.96833338635</v>
      </c>
      <c r="I82" t="str">
        <f>IF(G82&gt;0,"Under-predicted","Over-predicted")</f>
        <v>Over-predicted</v>
      </c>
    </row>
    <row r="83" spans="1:9">
      <c r="A83" t="s">
        <v>42</v>
      </c>
      <c r="B83" s="2">
        <v>45689</v>
      </c>
      <c r="C83" t="s">
        <v>27</v>
      </c>
      <c r="D83" t="s">
        <v>28</v>
      </c>
      <c r="E83" s="3">
        <v>682208.01</v>
      </c>
      <c r="F83" s="3">
        <f>Multiple_Model!$B$13+Multiple_Model!$B$14*Dummy_Variables!E83+Multiple_Model!$B$15*Dummy_Variables!F83+Multiple_Model!$B$16*Dummy_Variables!G83+Multiple_Model!$B$17*Dummy_Variables!I83+Multiple_Model!$B$18*Dummy_Variables!L83+Multiple_Model!$B$19*Dummy_Variables!H83+Multiple_Model!$B$20*Dummy_Variables!K83+Multiple_Model!$B$21*Dummy_Variables!J83+Multiple_Model!$B$22*Dummy_Variables!O83+Multiple_Model!$B$23*Dummy_Variables!P83+Multiple_Model!$B$24*Dummy_Variables!Q83+Multiple_Model!$B$25*Dummy_Variables!R83+Multiple_Model!$B$26*Dummy_Variables!S83+Multiple_Model!$B$27*Dummy_Variables!T83</f>
        <v>646962.38395725458</v>
      </c>
      <c r="G83" s="3">
        <f>E83-F83</f>
        <v>35245.626042745425</v>
      </c>
      <c r="H83" s="3">
        <f>ABS(G83)</f>
        <v>35245.626042745425</v>
      </c>
      <c r="I83" t="str">
        <f>IF(G83&gt;0,"Under-predicted","Over-predicted")</f>
        <v>Under-predicted</v>
      </c>
    </row>
    <row r="84" spans="1:9">
      <c r="A84" t="s">
        <v>42</v>
      </c>
      <c r="B84" s="2">
        <v>45717</v>
      </c>
      <c r="C84" t="s">
        <v>27</v>
      </c>
      <c r="D84" t="s">
        <v>28</v>
      </c>
      <c r="E84" s="3">
        <v>727241.86</v>
      </c>
      <c r="F84" s="3">
        <f>Multiple_Model!$B$13+Multiple_Model!$B$14*Dummy_Variables!E84+Multiple_Model!$B$15*Dummy_Variables!F84+Multiple_Model!$B$16*Dummy_Variables!G84+Multiple_Model!$B$17*Dummy_Variables!I84+Multiple_Model!$B$18*Dummy_Variables!L84+Multiple_Model!$B$19*Dummy_Variables!H84+Multiple_Model!$B$20*Dummy_Variables!K84+Multiple_Model!$B$21*Dummy_Variables!J84+Multiple_Model!$B$22*Dummy_Variables!O84+Multiple_Model!$B$23*Dummy_Variables!P84+Multiple_Model!$B$24*Dummy_Variables!Q84+Multiple_Model!$B$25*Dummy_Variables!R84+Multiple_Model!$B$26*Dummy_Variables!S84+Multiple_Model!$B$27*Dummy_Variables!T84</f>
        <v>678975.32348789112</v>
      </c>
      <c r="G84" s="3">
        <f>E84-F84</f>
        <v>48266.536512108869</v>
      </c>
      <c r="H84" s="3">
        <f>ABS(G84)</f>
        <v>48266.536512108869</v>
      </c>
      <c r="I84" t="str">
        <f>IF(G84&gt;0,"Under-predicted","Over-predicted")</f>
        <v>Under-predicted</v>
      </c>
    </row>
    <row r="85" spans="1:9">
      <c r="A85" t="s">
        <v>42</v>
      </c>
      <c r="B85" s="2">
        <v>45748</v>
      </c>
      <c r="C85" t="s">
        <v>27</v>
      </c>
      <c r="D85" t="s">
        <v>28</v>
      </c>
      <c r="E85" s="3">
        <v>569100.78</v>
      </c>
      <c r="F85" s="3">
        <f>Multiple_Model!$B$13+Multiple_Model!$B$14*Dummy_Variables!E85+Multiple_Model!$B$15*Dummy_Variables!F85+Multiple_Model!$B$16*Dummy_Variables!G85+Multiple_Model!$B$17*Dummy_Variables!I85+Multiple_Model!$B$18*Dummy_Variables!L85+Multiple_Model!$B$19*Dummy_Variables!H85+Multiple_Model!$B$20*Dummy_Variables!K85+Multiple_Model!$B$21*Dummy_Variables!J85+Multiple_Model!$B$22*Dummy_Variables!O85+Multiple_Model!$B$23*Dummy_Variables!P85+Multiple_Model!$B$24*Dummy_Variables!Q85+Multiple_Model!$B$25*Dummy_Variables!R85+Multiple_Model!$B$26*Dummy_Variables!S85+Multiple_Model!$B$27*Dummy_Variables!T85</f>
        <v>571693.52462373313</v>
      </c>
      <c r="G85" s="3">
        <f>E85-F85</f>
        <v>-2592.7446237331023</v>
      </c>
      <c r="H85" s="3">
        <f>ABS(G85)</f>
        <v>2592.7446237331023</v>
      </c>
      <c r="I85" t="str">
        <f>IF(G85&gt;0,"Under-predicted","Over-predicted")</f>
        <v>Over-predicted</v>
      </c>
    </row>
    <row r="86" spans="1:9">
      <c r="A86" t="s">
        <v>43</v>
      </c>
      <c r="B86" s="2">
        <v>45658</v>
      </c>
      <c r="C86" t="s">
        <v>27</v>
      </c>
      <c r="D86" t="s">
        <v>18</v>
      </c>
      <c r="E86" s="3">
        <v>574436.29</v>
      </c>
      <c r="F86" s="3">
        <f>Multiple_Model!$B$13+Multiple_Model!$B$14*Dummy_Variables!E86+Multiple_Model!$B$15*Dummy_Variables!F86+Multiple_Model!$B$16*Dummy_Variables!G86+Multiple_Model!$B$17*Dummy_Variables!I86+Multiple_Model!$B$18*Dummy_Variables!L86+Multiple_Model!$B$19*Dummy_Variables!H86+Multiple_Model!$B$20*Dummy_Variables!K86+Multiple_Model!$B$21*Dummy_Variables!J86+Multiple_Model!$B$22*Dummy_Variables!O86+Multiple_Model!$B$23*Dummy_Variables!P86+Multiple_Model!$B$24*Dummy_Variables!Q86+Multiple_Model!$B$25*Dummy_Variables!R86+Multiple_Model!$B$26*Dummy_Variables!S86+Multiple_Model!$B$27*Dummy_Variables!T86</f>
        <v>556324.49937166914</v>
      </c>
      <c r="G86" s="3">
        <f>E86-F86</f>
        <v>18111.790628330898</v>
      </c>
      <c r="H86" s="3">
        <f>ABS(G86)</f>
        <v>18111.790628330898</v>
      </c>
      <c r="I86" t="str">
        <f>IF(G86&gt;0,"Under-predicted","Over-predicted")</f>
        <v>Under-predicted</v>
      </c>
    </row>
    <row r="87" spans="1:9">
      <c r="A87" t="s">
        <v>43</v>
      </c>
      <c r="B87" s="2">
        <v>45689</v>
      </c>
      <c r="C87" t="s">
        <v>27</v>
      </c>
      <c r="D87" t="s">
        <v>18</v>
      </c>
      <c r="E87" s="3">
        <v>611766.72</v>
      </c>
      <c r="F87" s="3">
        <f>Multiple_Model!$B$13+Multiple_Model!$B$14*Dummy_Variables!E87+Multiple_Model!$B$15*Dummy_Variables!F87+Multiple_Model!$B$16*Dummy_Variables!G87+Multiple_Model!$B$17*Dummy_Variables!I87+Multiple_Model!$B$18*Dummy_Variables!L87+Multiple_Model!$B$19*Dummy_Variables!H87+Multiple_Model!$B$20*Dummy_Variables!K87+Multiple_Model!$B$21*Dummy_Variables!J87+Multiple_Model!$B$22*Dummy_Variables!O87+Multiple_Model!$B$23*Dummy_Variables!P87+Multiple_Model!$B$24*Dummy_Variables!Q87+Multiple_Model!$B$25*Dummy_Variables!R87+Multiple_Model!$B$26*Dummy_Variables!S87+Multiple_Model!$B$27*Dummy_Variables!T87</f>
        <v>643443.07370972342</v>
      </c>
      <c r="G87" s="3">
        <f>E87-F87</f>
        <v>-31676.353709723451</v>
      </c>
      <c r="H87" s="3">
        <f>ABS(G87)</f>
        <v>31676.353709723451</v>
      </c>
      <c r="I87" t="str">
        <f>IF(G87&gt;0,"Under-predicted","Over-predicted")</f>
        <v>Over-predicted</v>
      </c>
    </row>
    <row r="88" spans="1:9">
      <c r="A88" t="s">
        <v>43</v>
      </c>
      <c r="B88" s="2">
        <v>45717</v>
      </c>
      <c r="C88" t="s">
        <v>27</v>
      </c>
      <c r="D88" t="s">
        <v>18</v>
      </c>
      <c r="E88" s="3">
        <v>614596.31999999995</v>
      </c>
      <c r="F88" s="3">
        <f>Multiple_Model!$B$13+Multiple_Model!$B$14*Dummy_Variables!E88+Multiple_Model!$B$15*Dummy_Variables!F88+Multiple_Model!$B$16*Dummy_Variables!G88+Multiple_Model!$B$17*Dummy_Variables!I88+Multiple_Model!$B$18*Dummy_Variables!L88+Multiple_Model!$B$19*Dummy_Variables!H88+Multiple_Model!$B$20*Dummy_Variables!K88+Multiple_Model!$B$21*Dummy_Variables!J88+Multiple_Model!$B$22*Dummy_Variables!O88+Multiple_Model!$B$23*Dummy_Variables!P88+Multiple_Model!$B$24*Dummy_Variables!Q88+Multiple_Model!$B$25*Dummy_Variables!R88+Multiple_Model!$B$26*Dummy_Variables!S88+Multiple_Model!$B$27*Dummy_Variables!T88</f>
        <v>592969.53606564761</v>
      </c>
      <c r="G88" s="3">
        <f>E88-F88</f>
        <v>21626.783934352337</v>
      </c>
      <c r="H88" s="3">
        <f>ABS(G88)</f>
        <v>21626.783934352337</v>
      </c>
      <c r="I88" t="str">
        <f>IF(G88&gt;0,"Under-predicted","Over-predicted")</f>
        <v>Under-predicted</v>
      </c>
    </row>
    <row r="89" spans="1:9">
      <c r="A89" t="s">
        <v>43</v>
      </c>
      <c r="B89" s="2">
        <v>45748</v>
      </c>
      <c r="C89" t="s">
        <v>27</v>
      </c>
      <c r="D89" t="s">
        <v>18</v>
      </c>
      <c r="E89" s="3">
        <v>450711.92</v>
      </c>
      <c r="F89" s="3">
        <f>Multiple_Model!$B$13+Multiple_Model!$B$14*Dummy_Variables!E89+Multiple_Model!$B$15*Dummy_Variables!F89+Multiple_Model!$B$16*Dummy_Variables!G89+Multiple_Model!$B$17*Dummy_Variables!I89+Multiple_Model!$B$18*Dummy_Variables!L89+Multiple_Model!$B$19*Dummy_Variables!H89+Multiple_Model!$B$20*Dummy_Variables!K89+Multiple_Model!$B$21*Dummy_Variables!J89+Multiple_Model!$B$22*Dummy_Variables!O89+Multiple_Model!$B$23*Dummy_Variables!P89+Multiple_Model!$B$24*Dummy_Variables!Q89+Multiple_Model!$B$25*Dummy_Variables!R89+Multiple_Model!$B$26*Dummy_Variables!S89+Multiple_Model!$B$27*Dummy_Variables!T89</f>
        <v>477458.10374840361</v>
      </c>
      <c r="G89" s="3">
        <f>E89-F89</f>
        <v>-26746.183748403622</v>
      </c>
      <c r="H89" s="3">
        <f>ABS(G89)</f>
        <v>26746.183748403622</v>
      </c>
      <c r="I89" t="str">
        <f>IF(G89&gt;0,"Under-predicted","Over-predicted")</f>
        <v>Over-predicted</v>
      </c>
    </row>
    <row r="90" spans="1:9">
      <c r="A90" t="s">
        <v>44</v>
      </c>
      <c r="B90" s="2">
        <v>45658</v>
      </c>
      <c r="C90" t="s">
        <v>24</v>
      </c>
      <c r="D90" t="s">
        <v>28</v>
      </c>
      <c r="E90" s="3">
        <v>711213.46</v>
      </c>
      <c r="F90" s="3">
        <f>Multiple_Model!$B$13+Multiple_Model!$B$14*Dummy_Variables!E90+Multiple_Model!$B$15*Dummy_Variables!F90+Multiple_Model!$B$16*Dummy_Variables!G90+Multiple_Model!$B$17*Dummy_Variables!I90+Multiple_Model!$B$18*Dummy_Variables!L90+Multiple_Model!$B$19*Dummy_Variables!H90+Multiple_Model!$B$20*Dummy_Variables!K90+Multiple_Model!$B$21*Dummy_Variables!J90+Multiple_Model!$B$22*Dummy_Variables!O90+Multiple_Model!$B$23*Dummy_Variables!P90+Multiple_Model!$B$24*Dummy_Variables!Q90+Multiple_Model!$B$25*Dummy_Variables!R90+Multiple_Model!$B$26*Dummy_Variables!S90+Multiple_Model!$B$27*Dummy_Variables!T90</f>
        <v>696881.37015561771</v>
      </c>
      <c r="G90" s="3">
        <f>E90-F90</f>
        <v>14332.089844382252</v>
      </c>
      <c r="H90" s="3">
        <f>ABS(G90)</f>
        <v>14332.089844382252</v>
      </c>
      <c r="I90" t="str">
        <f>IF(G90&gt;0,"Under-predicted","Over-predicted")</f>
        <v>Under-predicted</v>
      </c>
    </row>
    <row r="91" spans="1:9">
      <c r="A91" t="s">
        <v>44</v>
      </c>
      <c r="B91" s="2">
        <v>45689</v>
      </c>
      <c r="C91" t="s">
        <v>24</v>
      </c>
      <c r="D91" t="s">
        <v>28</v>
      </c>
      <c r="E91" s="3">
        <v>627171.9</v>
      </c>
      <c r="F91" s="3">
        <f>Multiple_Model!$B$13+Multiple_Model!$B$14*Dummy_Variables!E91+Multiple_Model!$B$15*Dummy_Variables!F91+Multiple_Model!$B$16*Dummy_Variables!G91+Multiple_Model!$B$17*Dummy_Variables!I91+Multiple_Model!$B$18*Dummy_Variables!L91+Multiple_Model!$B$19*Dummy_Variables!H91+Multiple_Model!$B$20*Dummy_Variables!K91+Multiple_Model!$B$21*Dummy_Variables!J91+Multiple_Model!$B$22*Dummy_Variables!O91+Multiple_Model!$B$23*Dummy_Variables!P91+Multiple_Model!$B$24*Dummy_Variables!Q91+Multiple_Model!$B$25*Dummy_Variables!R91+Multiple_Model!$B$26*Dummy_Variables!S91+Multiple_Model!$B$27*Dummy_Variables!T91</f>
        <v>764038.71091177082</v>
      </c>
      <c r="G91" s="3">
        <f>E91-F91</f>
        <v>-136866.81091177079</v>
      </c>
      <c r="H91" s="3">
        <f>ABS(G91)</f>
        <v>136866.81091177079</v>
      </c>
      <c r="I91" t="str">
        <f>IF(G91&gt;0,"Under-predicted","Over-predicted")</f>
        <v>Over-predicted</v>
      </c>
    </row>
    <row r="92" spans="1:9">
      <c r="A92" t="s">
        <v>44</v>
      </c>
      <c r="B92" s="2">
        <v>45717</v>
      </c>
      <c r="C92" t="s">
        <v>24</v>
      </c>
      <c r="D92" t="s">
        <v>28</v>
      </c>
      <c r="E92" s="3">
        <v>739852.58</v>
      </c>
      <c r="F92" s="3">
        <f>Multiple_Model!$B$13+Multiple_Model!$B$14*Dummy_Variables!E92+Multiple_Model!$B$15*Dummy_Variables!F92+Multiple_Model!$B$16*Dummy_Variables!G92+Multiple_Model!$B$17*Dummy_Variables!I92+Multiple_Model!$B$18*Dummy_Variables!L92+Multiple_Model!$B$19*Dummy_Variables!H92+Multiple_Model!$B$20*Dummy_Variables!K92+Multiple_Model!$B$21*Dummy_Variables!J92+Multiple_Model!$B$22*Dummy_Variables!O92+Multiple_Model!$B$23*Dummy_Variables!P92+Multiple_Model!$B$24*Dummy_Variables!Q92+Multiple_Model!$B$25*Dummy_Variables!R92+Multiple_Model!$B$26*Dummy_Variables!S92+Multiple_Model!$B$27*Dummy_Variables!T92</f>
        <v>736719.63340196304</v>
      </c>
      <c r="G92" s="3">
        <f>E92-F92</f>
        <v>3132.9465980369132</v>
      </c>
      <c r="H92" s="3">
        <f>ABS(G92)</f>
        <v>3132.9465980369132</v>
      </c>
      <c r="I92" t="str">
        <f>IF(G92&gt;0,"Under-predicted","Over-predicted")</f>
        <v>Under-predicted</v>
      </c>
    </row>
    <row r="93" spans="1:9">
      <c r="A93" t="s">
        <v>44</v>
      </c>
      <c r="B93" s="2">
        <v>45748</v>
      </c>
      <c r="C93" t="s">
        <v>24</v>
      </c>
      <c r="D93" t="s">
        <v>28</v>
      </c>
      <c r="E93" s="3">
        <v>586307.22</v>
      </c>
      <c r="F93" s="3">
        <f>Multiple_Model!$B$13+Multiple_Model!$B$14*Dummy_Variables!E93+Multiple_Model!$B$15*Dummy_Variables!F93+Multiple_Model!$B$16*Dummy_Variables!G93+Multiple_Model!$B$17*Dummy_Variables!I93+Multiple_Model!$B$18*Dummy_Variables!L93+Multiple_Model!$B$19*Dummy_Variables!H93+Multiple_Model!$B$20*Dummy_Variables!K93+Multiple_Model!$B$21*Dummy_Variables!J93+Multiple_Model!$B$22*Dummy_Variables!O93+Multiple_Model!$B$23*Dummy_Variables!P93+Multiple_Model!$B$24*Dummy_Variables!Q93+Multiple_Model!$B$25*Dummy_Variables!R93+Multiple_Model!$B$26*Dummy_Variables!S93+Multiple_Model!$B$27*Dummy_Variables!T93</f>
        <v>583320.8363313569</v>
      </c>
      <c r="G93" s="3">
        <f>E93-F93</f>
        <v>2986.3836686430732</v>
      </c>
      <c r="H93" s="3">
        <f>ABS(G93)</f>
        <v>2986.3836686430732</v>
      </c>
      <c r="I93" t="str">
        <f>IF(G93&gt;0,"Under-predicted","Over-predicted")</f>
        <v>Under-predicted</v>
      </c>
    </row>
    <row r="94" spans="1:9">
      <c r="A94" t="s">
        <v>45</v>
      </c>
      <c r="B94" s="2">
        <v>45658</v>
      </c>
      <c r="C94" t="s">
        <v>27</v>
      </c>
      <c r="D94" t="s">
        <v>16</v>
      </c>
      <c r="E94" s="3">
        <v>585937.48</v>
      </c>
      <c r="F94" s="3">
        <f>Multiple_Model!$B$13+Multiple_Model!$B$14*Dummy_Variables!E94+Multiple_Model!$B$15*Dummy_Variables!F94+Multiple_Model!$B$16*Dummy_Variables!G94+Multiple_Model!$B$17*Dummy_Variables!I94+Multiple_Model!$B$18*Dummy_Variables!L94+Multiple_Model!$B$19*Dummy_Variables!H94+Multiple_Model!$B$20*Dummy_Variables!K94+Multiple_Model!$B$21*Dummy_Variables!J94+Multiple_Model!$B$22*Dummy_Variables!O94+Multiple_Model!$B$23*Dummy_Variables!P94+Multiple_Model!$B$24*Dummy_Variables!Q94+Multiple_Model!$B$25*Dummy_Variables!R94+Multiple_Model!$B$26*Dummy_Variables!S94+Multiple_Model!$B$27*Dummy_Variables!T94</f>
        <v>604909.18015938625</v>
      </c>
      <c r="G94" s="3">
        <f>E94-F94</f>
        <v>-18971.700159386266</v>
      </c>
      <c r="H94" s="3">
        <f>ABS(G94)</f>
        <v>18971.700159386266</v>
      </c>
      <c r="I94" t="str">
        <f>IF(G94&gt;0,"Under-predicted","Over-predicted")</f>
        <v>Over-predicted</v>
      </c>
    </row>
    <row r="95" spans="1:9">
      <c r="A95" t="s">
        <v>45</v>
      </c>
      <c r="B95" s="2">
        <v>45689</v>
      </c>
      <c r="C95" t="s">
        <v>27</v>
      </c>
      <c r="D95" t="s">
        <v>16</v>
      </c>
      <c r="E95" s="3">
        <v>753473.55</v>
      </c>
      <c r="F95" s="3">
        <f>Multiple_Model!$B$13+Multiple_Model!$B$14*Dummy_Variables!E95+Multiple_Model!$B$15*Dummy_Variables!F95+Multiple_Model!$B$16*Dummy_Variables!G95+Multiple_Model!$B$17*Dummy_Variables!I95+Multiple_Model!$B$18*Dummy_Variables!L95+Multiple_Model!$B$19*Dummy_Variables!H95+Multiple_Model!$B$20*Dummy_Variables!K95+Multiple_Model!$B$21*Dummy_Variables!J95+Multiple_Model!$B$22*Dummy_Variables!O95+Multiple_Model!$B$23*Dummy_Variables!P95+Multiple_Model!$B$24*Dummy_Variables!Q95+Multiple_Model!$B$25*Dummy_Variables!R95+Multiple_Model!$B$26*Dummy_Variables!S95+Multiple_Model!$B$27*Dummy_Variables!T95</f>
        <v>710712.11376991065</v>
      </c>
      <c r="G95" s="3">
        <f>E95-F95</f>
        <v>42761.436230089399</v>
      </c>
      <c r="H95" s="3">
        <f>ABS(G95)</f>
        <v>42761.436230089399</v>
      </c>
      <c r="I95" t="str">
        <f>IF(G95&gt;0,"Under-predicted","Over-predicted")</f>
        <v>Under-predicted</v>
      </c>
    </row>
    <row r="96" spans="1:9">
      <c r="A96" t="s">
        <v>45</v>
      </c>
      <c r="B96" s="2">
        <v>45717</v>
      </c>
      <c r="C96" t="s">
        <v>27</v>
      </c>
      <c r="D96" t="s">
        <v>16</v>
      </c>
      <c r="E96" s="3">
        <v>838250.32</v>
      </c>
      <c r="F96" s="3">
        <f>Multiple_Model!$B$13+Multiple_Model!$B$14*Dummy_Variables!E96+Multiple_Model!$B$15*Dummy_Variables!F96+Multiple_Model!$B$16*Dummy_Variables!G96+Multiple_Model!$B$17*Dummy_Variables!I96+Multiple_Model!$B$18*Dummy_Variables!L96+Multiple_Model!$B$19*Dummy_Variables!H96+Multiple_Model!$B$20*Dummy_Variables!K96+Multiple_Model!$B$21*Dummy_Variables!J96+Multiple_Model!$B$22*Dummy_Variables!O96+Multiple_Model!$B$23*Dummy_Variables!P96+Multiple_Model!$B$24*Dummy_Variables!Q96+Multiple_Model!$B$25*Dummy_Variables!R96+Multiple_Model!$B$26*Dummy_Variables!S96+Multiple_Model!$B$27*Dummy_Variables!T96</f>
        <v>785357.89173462091</v>
      </c>
      <c r="G96" s="3">
        <f>E96-F96</f>
        <v>52892.428265379043</v>
      </c>
      <c r="H96" s="3">
        <f>ABS(G96)</f>
        <v>52892.428265379043</v>
      </c>
      <c r="I96" t="str">
        <f>IF(G96&gt;0,"Under-predicted","Over-predicted")</f>
        <v>Under-predicted</v>
      </c>
    </row>
    <row r="97" spans="1:9">
      <c r="A97" t="s">
        <v>45</v>
      </c>
      <c r="B97" s="2">
        <v>45748</v>
      </c>
      <c r="C97" t="s">
        <v>27</v>
      </c>
      <c r="D97" t="s">
        <v>16</v>
      </c>
      <c r="E97" s="3">
        <v>607898.12</v>
      </c>
      <c r="F97" s="3">
        <f>Multiple_Model!$B$13+Multiple_Model!$B$14*Dummy_Variables!E97+Multiple_Model!$B$15*Dummy_Variables!F97+Multiple_Model!$B$16*Dummy_Variables!G97+Multiple_Model!$B$17*Dummy_Variables!I97+Multiple_Model!$B$18*Dummy_Variables!L97+Multiple_Model!$B$19*Dummy_Variables!H97+Multiple_Model!$B$20*Dummy_Variables!K97+Multiple_Model!$B$21*Dummy_Variables!J97+Multiple_Model!$B$22*Dummy_Variables!O97+Multiple_Model!$B$23*Dummy_Variables!P97+Multiple_Model!$B$24*Dummy_Variables!Q97+Multiple_Model!$B$25*Dummy_Variables!R97+Multiple_Model!$B$26*Dummy_Variables!S97+Multiple_Model!$B$27*Dummy_Variables!T97</f>
        <v>618140.95899811632</v>
      </c>
      <c r="G97" s="3">
        <f>E97-F97</f>
        <v>-10242.83899811632</v>
      </c>
      <c r="H97" s="3">
        <f>ABS(G97)</f>
        <v>10242.83899811632</v>
      </c>
      <c r="I97" t="str">
        <f>IF(G97&gt;0,"Under-predicted","Over-predicted")</f>
        <v>Over-predicted</v>
      </c>
    </row>
    <row r="98" spans="1:9">
      <c r="A98" t="s">
        <v>46</v>
      </c>
      <c r="B98" s="2">
        <v>45658</v>
      </c>
      <c r="C98" t="s">
        <v>27</v>
      </c>
      <c r="D98" t="s">
        <v>28</v>
      </c>
      <c r="E98" s="3">
        <v>691113.62</v>
      </c>
      <c r="F98" s="3">
        <f>Multiple_Model!$B$13+Multiple_Model!$B$14*Dummy_Variables!E98+Multiple_Model!$B$15*Dummy_Variables!F98+Multiple_Model!$B$16*Dummy_Variables!G98+Multiple_Model!$B$17*Dummy_Variables!I98+Multiple_Model!$B$18*Dummy_Variables!L98+Multiple_Model!$B$19*Dummy_Variables!H98+Multiple_Model!$B$20*Dummy_Variables!K98+Multiple_Model!$B$21*Dummy_Variables!J98+Multiple_Model!$B$22*Dummy_Variables!O98+Multiple_Model!$B$23*Dummy_Variables!P98+Multiple_Model!$B$24*Dummy_Variables!Q98+Multiple_Model!$B$25*Dummy_Variables!R98+Multiple_Model!$B$26*Dummy_Variables!S98+Multiple_Model!$B$27*Dummy_Variables!T98</f>
        <v>674754.18688736786</v>
      </c>
      <c r="G98" s="3">
        <f>E98-F98</f>
        <v>16359.433112632134</v>
      </c>
      <c r="H98" s="3">
        <f>ABS(G98)</f>
        <v>16359.433112632134</v>
      </c>
      <c r="I98" t="str">
        <f>IF(G98&gt;0,"Under-predicted","Over-predicted")</f>
        <v>Under-predicted</v>
      </c>
    </row>
    <row r="99" spans="1:9">
      <c r="A99" t="s">
        <v>46</v>
      </c>
      <c r="B99" s="2">
        <v>45689</v>
      </c>
      <c r="C99" t="s">
        <v>27</v>
      </c>
      <c r="D99" t="s">
        <v>28</v>
      </c>
      <c r="E99" s="3">
        <v>735509.4</v>
      </c>
      <c r="F99" s="3">
        <f>Multiple_Model!$B$13+Multiple_Model!$B$14*Dummy_Variables!E99+Multiple_Model!$B$15*Dummy_Variables!F99+Multiple_Model!$B$16*Dummy_Variables!G99+Multiple_Model!$B$17*Dummy_Variables!I99+Multiple_Model!$B$18*Dummy_Variables!L99+Multiple_Model!$B$19*Dummy_Variables!H99+Multiple_Model!$B$20*Dummy_Variables!K99+Multiple_Model!$B$21*Dummy_Variables!J99+Multiple_Model!$B$22*Dummy_Variables!O99+Multiple_Model!$B$23*Dummy_Variables!P99+Multiple_Model!$B$24*Dummy_Variables!Q99+Multiple_Model!$B$25*Dummy_Variables!R99+Multiple_Model!$B$26*Dummy_Variables!S99+Multiple_Model!$B$27*Dummy_Variables!T99</f>
        <v>664978.20989811409</v>
      </c>
      <c r="G99" s="3">
        <f>E99-F99</f>
        <v>70531.190101885935</v>
      </c>
      <c r="H99" s="3">
        <f>ABS(G99)</f>
        <v>70531.190101885935</v>
      </c>
      <c r="I99" t="str">
        <f>IF(G99&gt;0,"Under-predicted","Over-predicted")</f>
        <v>Under-predicted</v>
      </c>
    </row>
    <row r="100" spans="1:9">
      <c r="A100" t="s">
        <v>46</v>
      </c>
      <c r="B100" s="2">
        <v>45717</v>
      </c>
      <c r="C100" t="s">
        <v>27</v>
      </c>
      <c r="D100" t="s">
        <v>28</v>
      </c>
      <c r="E100" s="3">
        <v>605775.32999999996</v>
      </c>
      <c r="F100" s="3">
        <f>Multiple_Model!$B$13+Multiple_Model!$B$14*Dummy_Variables!E100+Multiple_Model!$B$15*Dummy_Variables!F100+Multiple_Model!$B$16*Dummy_Variables!G100+Multiple_Model!$B$17*Dummy_Variables!I100+Multiple_Model!$B$18*Dummy_Variables!L100+Multiple_Model!$B$19*Dummy_Variables!H100+Multiple_Model!$B$20*Dummy_Variables!K100+Multiple_Model!$B$21*Dummy_Variables!J100+Multiple_Model!$B$22*Dummy_Variables!O100+Multiple_Model!$B$23*Dummy_Variables!P100+Multiple_Model!$B$24*Dummy_Variables!Q100+Multiple_Model!$B$25*Dummy_Variables!R100+Multiple_Model!$B$26*Dummy_Variables!S100+Multiple_Model!$B$27*Dummy_Variables!T100</f>
        <v>641879.05366983323</v>
      </c>
      <c r="G100" s="3">
        <f>E100-F100</f>
        <v>-36103.723669833271</v>
      </c>
      <c r="H100" s="3">
        <f>ABS(G100)</f>
        <v>36103.723669833271</v>
      </c>
      <c r="I100" t="str">
        <f>IF(G100&gt;0,"Under-predicted","Over-predicted")</f>
        <v>Over-predicted</v>
      </c>
    </row>
    <row r="101" spans="1:9">
      <c r="A101" t="s">
        <v>46</v>
      </c>
      <c r="B101" s="2">
        <v>45748</v>
      </c>
      <c r="C101" t="s">
        <v>27</v>
      </c>
      <c r="D101" t="s">
        <v>28</v>
      </c>
      <c r="E101" s="3">
        <v>675177.68</v>
      </c>
      <c r="F101" s="3">
        <f>Multiple_Model!$B$13+Multiple_Model!$B$14*Dummy_Variables!E101+Multiple_Model!$B$15*Dummy_Variables!F101+Multiple_Model!$B$16*Dummy_Variables!G101+Multiple_Model!$B$17*Dummy_Variables!I101+Multiple_Model!$B$18*Dummy_Variables!L101+Multiple_Model!$B$19*Dummy_Variables!H101+Multiple_Model!$B$20*Dummy_Variables!K101+Multiple_Model!$B$21*Dummy_Variables!J101+Multiple_Model!$B$22*Dummy_Variables!O101+Multiple_Model!$B$23*Dummy_Variables!P101+Multiple_Model!$B$24*Dummy_Variables!Q101+Multiple_Model!$B$25*Dummy_Variables!R101+Multiple_Model!$B$26*Dummy_Variables!S101+Multiple_Model!$B$27*Dummy_Variables!T101</f>
        <v>665996.46812808421</v>
      </c>
      <c r="G101" s="3">
        <f>E101-F101</f>
        <v>9181.2118719158461</v>
      </c>
      <c r="H101" s="3">
        <f>ABS(G101)</f>
        <v>9181.2118719158461</v>
      </c>
      <c r="I101" t="str">
        <f>IF(G101&gt;0,"Under-predicted","Over-predicted")</f>
        <v>Under-predicted</v>
      </c>
    </row>
    <row r="102" spans="1:9">
      <c r="A102" t="s">
        <v>47</v>
      </c>
      <c r="B102" s="2">
        <v>45658</v>
      </c>
      <c r="C102" t="s">
        <v>15</v>
      </c>
      <c r="D102" t="s">
        <v>28</v>
      </c>
      <c r="E102" s="3">
        <v>635181.35</v>
      </c>
      <c r="F102" s="3">
        <f>Multiple_Model!$B$13+Multiple_Model!$B$14*Dummy_Variables!E102+Multiple_Model!$B$15*Dummy_Variables!F102+Multiple_Model!$B$16*Dummy_Variables!G102+Multiple_Model!$B$17*Dummy_Variables!I102+Multiple_Model!$B$18*Dummy_Variables!L102+Multiple_Model!$B$19*Dummy_Variables!H102+Multiple_Model!$B$20*Dummy_Variables!K102+Multiple_Model!$B$21*Dummy_Variables!J102+Multiple_Model!$B$22*Dummy_Variables!O102+Multiple_Model!$B$23*Dummy_Variables!P102+Multiple_Model!$B$24*Dummy_Variables!Q102+Multiple_Model!$B$25*Dummy_Variables!R102+Multiple_Model!$B$26*Dummy_Variables!S102+Multiple_Model!$B$27*Dummy_Variables!T102</f>
        <v>608398.4345596038</v>
      </c>
      <c r="G102" s="3">
        <f>E102-F102</f>
        <v>26782.915440396173</v>
      </c>
      <c r="H102" s="3">
        <f>ABS(G102)</f>
        <v>26782.915440396173</v>
      </c>
      <c r="I102" t="str">
        <f>IF(G102&gt;0,"Under-predicted","Over-predicted")</f>
        <v>Under-predicted</v>
      </c>
    </row>
    <row r="103" spans="1:9">
      <c r="A103" t="s">
        <v>47</v>
      </c>
      <c r="B103" s="2">
        <v>45689</v>
      </c>
      <c r="C103" t="s">
        <v>15</v>
      </c>
      <c r="D103" t="s">
        <v>28</v>
      </c>
      <c r="E103" s="3">
        <v>586626.93999999994</v>
      </c>
      <c r="F103" s="3">
        <f>Multiple_Model!$B$13+Multiple_Model!$B$14*Dummy_Variables!E103+Multiple_Model!$B$15*Dummy_Variables!F103+Multiple_Model!$B$16*Dummy_Variables!G103+Multiple_Model!$B$17*Dummy_Variables!I103+Multiple_Model!$B$18*Dummy_Variables!L103+Multiple_Model!$B$19*Dummy_Variables!H103+Multiple_Model!$B$20*Dummy_Variables!K103+Multiple_Model!$B$21*Dummy_Variables!J103+Multiple_Model!$B$22*Dummy_Variables!O103+Multiple_Model!$B$23*Dummy_Variables!P103+Multiple_Model!$B$24*Dummy_Variables!Q103+Multiple_Model!$B$25*Dummy_Variables!R103+Multiple_Model!$B$26*Dummy_Variables!S103+Multiple_Model!$B$27*Dummy_Variables!T103</f>
        <v>620889.3873242148</v>
      </c>
      <c r="G103" s="3">
        <f>E103-F103</f>
        <v>-34262.447324214852</v>
      </c>
      <c r="H103" s="3">
        <f>ABS(G103)</f>
        <v>34262.447324214852</v>
      </c>
      <c r="I103" t="str">
        <f>IF(G103&gt;0,"Under-predicted","Over-predicted")</f>
        <v>Over-predicted</v>
      </c>
    </row>
    <row r="104" spans="1:9">
      <c r="A104" t="s">
        <v>47</v>
      </c>
      <c r="B104" s="2">
        <v>45717</v>
      </c>
      <c r="C104" t="s">
        <v>15</v>
      </c>
      <c r="D104" t="s">
        <v>28</v>
      </c>
      <c r="E104" s="3">
        <v>740102.64</v>
      </c>
      <c r="F104" s="3">
        <f>Multiple_Model!$B$13+Multiple_Model!$B$14*Dummy_Variables!E104+Multiple_Model!$B$15*Dummy_Variables!F104+Multiple_Model!$B$16*Dummy_Variables!G104+Multiple_Model!$B$17*Dummy_Variables!I104+Multiple_Model!$B$18*Dummy_Variables!L104+Multiple_Model!$B$19*Dummy_Variables!H104+Multiple_Model!$B$20*Dummy_Variables!K104+Multiple_Model!$B$21*Dummy_Variables!J104+Multiple_Model!$B$22*Dummy_Variables!O104+Multiple_Model!$B$23*Dummy_Variables!P104+Multiple_Model!$B$24*Dummy_Variables!Q104+Multiple_Model!$B$25*Dummy_Variables!R104+Multiple_Model!$B$26*Dummy_Variables!S104+Multiple_Model!$B$27*Dummy_Variables!T104</f>
        <v>725760.57643203146</v>
      </c>
      <c r="G104" s="3">
        <f>E104-F104</f>
        <v>14342.063567968551</v>
      </c>
      <c r="H104" s="3">
        <f>ABS(G104)</f>
        <v>14342.063567968551</v>
      </c>
      <c r="I104" t="str">
        <f>IF(G104&gt;0,"Under-predicted","Over-predicted")</f>
        <v>Under-predicted</v>
      </c>
    </row>
    <row r="105" spans="1:9">
      <c r="A105" t="s">
        <v>47</v>
      </c>
      <c r="B105" s="2">
        <v>45748</v>
      </c>
      <c r="C105" t="s">
        <v>15</v>
      </c>
      <c r="D105" t="s">
        <v>28</v>
      </c>
      <c r="E105" s="3">
        <v>625514.04</v>
      </c>
      <c r="F105" s="3">
        <f>Multiple_Model!$B$13+Multiple_Model!$B$14*Dummy_Variables!E105+Multiple_Model!$B$15*Dummy_Variables!F105+Multiple_Model!$B$16*Dummy_Variables!G105+Multiple_Model!$B$17*Dummy_Variables!I105+Multiple_Model!$B$18*Dummy_Variables!L105+Multiple_Model!$B$19*Dummy_Variables!H105+Multiple_Model!$B$20*Dummy_Variables!K105+Multiple_Model!$B$21*Dummy_Variables!J105+Multiple_Model!$B$22*Dummy_Variables!O105+Multiple_Model!$B$23*Dummy_Variables!P105+Multiple_Model!$B$24*Dummy_Variables!Q105+Multiple_Model!$B$25*Dummy_Variables!R105+Multiple_Model!$B$26*Dummy_Variables!S105+Multiple_Model!$B$27*Dummy_Variables!T105</f>
        <v>540234.62124624825</v>
      </c>
      <c r="G105" s="3">
        <f>E105-F105</f>
        <v>85279.418753751786</v>
      </c>
      <c r="H105" s="3">
        <f>ABS(G105)</f>
        <v>85279.418753751786</v>
      </c>
      <c r="I105" t="str">
        <f>IF(G105&gt;0,"Under-predicted","Over-predicted")</f>
        <v>Under-predicted</v>
      </c>
    </row>
    <row r="106" spans="1:9">
      <c r="A106" t="s">
        <v>48</v>
      </c>
      <c r="B106" s="2">
        <v>45658</v>
      </c>
      <c r="C106" t="s">
        <v>27</v>
      </c>
      <c r="D106" t="s">
        <v>18</v>
      </c>
      <c r="E106" s="3">
        <v>727227.2</v>
      </c>
      <c r="F106" s="3">
        <f>Multiple_Model!$B$13+Multiple_Model!$B$14*Dummy_Variables!E106+Multiple_Model!$B$15*Dummy_Variables!F106+Multiple_Model!$B$16*Dummy_Variables!G106+Multiple_Model!$B$17*Dummy_Variables!I106+Multiple_Model!$B$18*Dummy_Variables!L106+Multiple_Model!$B$19*Dummy_Variables!H106+Multiple_Model!$B$20*Dummy_Variables!K106+Multiple_Model!$B$21*Dummy_Variables!J106+Multiple_Model!$B$22*Dummy_Variables!O106+Multiple_Model!$B$23*Dummy_Variables!P106+Multiple_Model!$B$24*Dummy_Variables!Q106+Multiple_Model!$B$25*Dummy_Variables!R106+Multiple_Model!$B$26*Dummy_Variables!S106+Multiple_Model!$B$27*Dummy_Variables!T106</f>
        <v>706648.07427803497</v>
      </c>
      <c r="G106" s="3">
        <f>E106-F106</f>
        <v>20579.125721964985</v>
      </c>
      <c r="H106" s="3">
        <f>ABS(G106)</f>
        <v>20579.125721964985</v>
      </c>
      <c r="I106" t="str">
        <f>IF(G106&gt;0,"Under-predicted","Over-predicted")</f>
        <v>Under-predicted</v>
      </c>
    </row>
    <row r="107" spans="1:9">
      <c r="A107" t="s">
        <v>48</v>
      </c>
      <c r="B107" s="2">
        <v>45689</v>
      </c>
      <c r="C107" t="s">
        <v>27</v>
      </c>
      <c r="D107" t="s">
        <v>18</v>
      </c>
      <c r="E107" s="3">
        <v>783797.89</v>
      </c>
      <c r="F107" s="3">
        <f>Multiple_Model!$B$13+Multiple_Model!$B$14*Dummy_Variables!E107+Multiple_Model!$B$15*Dummy_Variables!F107+Multiple_Model!$B$16*Dummy_Variables!G107+Multiple_Model!$B$17*Dummy_Variables!I107+Multiple_Model!$B$18*Dummy_Variables!L107+Multiple_Model!$B$19*Dummy_Variables!H107+Multiple_Model!$B$20*Dummy_Variables!K107+Multiple_Model!$B$21*Dummy_Variables!J107+Multiple_Model!$B$22*Dummy_Variables!O107+Multiple_Model!$B$23*Dummy_Variables!P107+Multiple_Model!$B$24*Dummy_Variables!Q107+Multiple_Model!$B$25*Dummy_Variables!R107+Multiple_Model!$B$26*Dummy_Variables!S107+Multiple_Model!$B$27*Dummy_Variables!T107</f>
        <v>796658.61666285538</v>
      </c>
      <c r="G107" s="3">
        <f>E107-F107</f>
        <v>-12860.726662855363</v>
      </c>
      <c r="H107" s="3">
        <f>ABS(G107)</f>
        <v>12860.726662855363</v>
      </c>
      <c r="I107" t="str">
        <f>IF(G107&gt;0,"Under-predicted","Over-predicted")</f>
        <v>Over-predicted</v>
      </c>
    </row>
    <row r="108" spans="1:9">
      <c r="A108" t="s">
        <v>48</v>
      </c>
      <c r="B108" s="2">
        <v>45717</v>
      </c>
      <c r="C108" t="s">
        <v>27</v>
      </c>
      <c r="D108" t="s">
        <v>18</v>
      </c>
      <c r="E108" s="3">
        <v>795153.84</v>
      </c>
      <c r="F108" s="3">
        <f>Multiple_Model!$B$13+Multiple_Model!$B$14*Dummy_Variables!E108+Multiple_Model!$B$15*Dummy_Variables!F108+Multiple_Model!$B$16*Dummy_Variables!G108+Multiple_Model!$B$17*Dummy_Variables!I108+Multiple_Model!$B$18*Dummy_Variables!L108+Multiple_Model!$B$19*Dummy_Variables!H108+Multiple_Model!$B$20*Dummy_Variables!K108+Multiple_Model!$B$21*Dummy_Variables!J108+Multiple_Model!$B$22*Dummy_Variables!O108+Multiple_Model!$B$23*Dummy_Variables!P108+Multiple_Model!$B$24*Dummy_Variables!Q108+Multiple_Model!$B$25*Dummy_Variables!R108+Multiple_Model!$B$26*Dummy_Variables!S108+Multiple_Model!$B$27*Dummy_Variables!T108</f>
        <v>724515.91719992238</v>
      </c>
      <c r="G108" s="3">
        <f>E108-F108</f>
        <v>70637.922800077591</v>
      </c>
      <c r="H108" s="3">
        <f>ABS(G108)</f>
        <v>70637.922800077591</v>
      </c>
      <c r="I108" t="str">
        <f>IF(G108&gt;0,"Under-predicted","Over-predicted")</f>
        <v>Under-predicted</v>
      </c>
    </row>
    <row r="109" spans="1:9">
      <c r="A109" t="s">
        <v>48</v>
      </c>
      <c r="B109" s="2">
        <v>45748</v>
      </c>
      <c r="C109" t="s">
        <v>27</v>
      </c>
      <c r="D109" t="s">
        <v>18</v>
      </c>
      <c r="E109" s="3">
        <v>665594.93999999994</v>
      </c>
      <c r="F109" s="3">
        <f>Multiple_Model!$B$13+Multiple_Model!$B$14*Dummy_Variables!E109+Multiple_Model!$B$15*Dummy_Variables!F109+Multiple_Model!$B$16*Dummy_Variables!G109+Multiple_Model!$B$17*Dummy_Variables!I109+Multiple_Model!$B$18*Dummy_Variables!L109+Multiple_Model!$B$19*Dummy_Variables!H109+Multiple_Model!$B$20*Dummy_Variables!K109+Multiple_Model!$B$21*Dummy_Variables!J109+Multiple_Model!$B$22*Dummy_Variables!O109+Multiple_Model!$B$23*Dummy_Variables!P109+Multiple_Model!$B$24*Dummy_Variables!Q109+Multiple_Model!$B$25*Dummy_Variables!R109+Multiple_Model!$B$26*Dummy_Variables!S109+Multiple_Model!$B$27*Dummy_Variables!T109</f>
        <v>630106.8805342291</v>
      </c>
      <c r="G109" s="3">
        <f>E109-F109</f>
        <v>35488.059465770843</v>
      </c>
      <c r="H109" s="3">
        <f>ABS(G109)</f>
        <v>35488.059465770843</v>
      </c>
      <c r="I109" t="str">
        <f>IF(G109&gt;0,"Under-predicted","Over-predicted")</f>
        <v>Under-predicted</v>
      </c>
    </row>
    <row r="110" spans="1:9">
      <c r="A110" t="s">
        <v>49</v>
      </c>
      <c r="B110" s="2">
        <v>45658</v>
      </c>
      <c r="C110" t="s">
        <v>15</v>
      </c>
      <c r="D110" t="s">
        <v>28</v>
      </c>
      <c r="E110" s="3">
        <v>709478.39</v>
      </c>
      <c r="F110" s="3">
        <f>Multiple_Model!$B$13+Multiple_Model!$B$14*Dummy_Variables!E110+Multiple_Model!$B$15*Dummy_Variables!F110+Multiple_Model!$B$16*Dummy_Variables!G110+Multiple_Model!$B$17*Dummy_Variables!I110+Multiple_Model!$B$18*Dummy_Variables!L110+Multiple_Model!$B$19*Dummy_Variables!H110+Multiple_Model!$B$20*Dummy_Variables!K110+Multiple_Model!$B$21*Dummy_Variables!J110+Multiple_Model!$B$22*Dummy_Variables!O110+Multiple_Model!$B$23*Dummy_Variables!P110+Multiple_Model!$B$24*Dummy_Variables!Q110+Multiple_Model!$B$25*Dummy_Variables!R110+Multiple_Model!$B$26*Dummy_Variables!S110+Multiple_Model!$B$27*Dummy_Variables!T110</f>
        <v>686737.33750561229</v>
      </c>
      <c r="G110" s="3">
        <f>E110-F110</f>
        <v>22741.052494387724</v>
      </c>
      <c r="H110" s="3">
        <f>ABS(G110)</f>
        <v>22741.052494387724</v>
      </c>
      <c r="I110" t="str">
        <f>IF(G110&gt;0,"Under-predicted","Over-predicted")</f>
        <v>Under-predicted</v>
      </c>
    </row>
    <row r="111" spans="1:9">
      <c r="A111" t="s">
        <v>49</v>
      </c>
      <c r="B111" s="2">
        <v>45689</v>
      </c>
      <c r="C111" t="s">
        <v>15</v>
      </c>
      <c r="D111" t="s">
        <v>28</v>
      </c>
      <c r="E111" s="3">
        <v>664162.49</v>
      </c>
      <c r="F111" s="3">
        <f>Multiple_Model!$B$13+Multiple_Model!$B$14*Dummy_Variables!E111+Multiple_Model!$B$15*Dummy_Variables!F111+Multiple_Model!$B$16*Dummy_Variables!G111+Multiple_Model!$B$17*Dummy_Variables!I111+Multiple_Model!$B$18*Dummy_Variables!L111+Multiple_Model!$B$19*Dummy_Variables!H111+Multiple_Model!$B$20*Dummy_Variables!K111+Multiple_Model!$B$21*Dummy_Variables!J111+Multiple_Model!$B$22*Dummy_Variables!O111+Multiple_Model!$B$23*Dummy_Variables!P111+Multiple_Model!$B$24*Dummy_Variables!Q111+Multiple_Model!$B$25*Dummy_Variables!R111+Multiple_Model!$B$26*Dummy_Variables!S111+Multiple_Model!$B$27*Dummy_Variables!T111</f>
        <v>631580.20556575549</v>
      </c>
      <c r="G111" s="3">
        <f>E111-F111</f>
        <v>32582.284434244502</v>
      </c>
      <c r="H111" s="3">
        <f>ABS(G111)</f>
        <v>32582.284434244502</v>
      </c>
      <c r="I111" t="str">
        <f>IF(G111&gt;0,"Under-predicted","Over-predicted")</f>
        <v>Under-predicted</v>
      </c>
    </row>
    <row r="112" spans="1:9">
      <c r="A112" t="s">
        <v>49</v>
      </c>
      <c r="B112" s="2">
        <v>45717</v>
      </c>
      <c r="C112" t="s">
        <v>15</v>
      </c>
      <c r="D112" t="s">
        <v>28</v>
      </c>
      <c r="E112" s="3">
        <v>633494.21</v>
      </c>
      <c r="F112" s="3">
        <f>Multiple_Model!$B$13+Multiple_Model!$B$14*Dummy_Variables!E112+Multiple_Model!$B$15*Dummy_Variables!F112+Multiple_Model!$B$16*Dummy_Variables!G112+Multiple_Model!$B$17*Dummy_Variables!I112+Multiple_Model!$B$18*Dummy_Variables!L112+Multiple_Model!$B$19*Dummy_Variables!H112+Multiple_Model!$B$20*Dummy_Variables!K112+Multiple_Model!$B$21*Dummy_Variables!J112+Multiple_Model!$B$22*Dummy_Variables!O112+Multiple_Model!$B$23*Dummy_Variables!P112+Multiple_Model!$B$24*Dummy_Variables!Q112+Multiple_Model!$B$25*Dummy_Variables!R112+Multiple_Model!$B$26*Dummy_Variables!S112+Multiple_Model!$B$27*Dummy_Variables!T112</f>
        <v>657035.0107341375</v>
      </c>
      <c r="G112" s="3">
        <f>E112-F112</f>
        <v>-23540.800734137534</v>
      </c>
      <c r="H112" s="3">
        <f>ABS(G112)</f>
        <v>23540.800734137534</v>
      </c>
      <c r="I112" t="str">
        <f>IF(G112&gt;0,"Under-predicted","Over-predicted")</f>
        <v>Over-predicted</v>
      </c>
    </row>
    <row r="113" spans="1:9">
      <c r="A113" t="s">
        <v>49</v>
      </c>
      <c r="B113" s="2">
        <v>45748</v>
      </c>
      <c r="C113" t="s">
        <v>15</v>
      </c>
      <c r="D113" t="s">
        <v>28</v>
      </c>
      <c r="E113" s="3">
        <v>713611.16</v>
      </c>
      <c r="F113" s="3">
        <f>Multiple_Model!$B$13+Multiple_Model!$B$14*Dummy_Variables!E113+Multiple_Model!$B$15*Dummy_Variables!F113+Multiple_Model!$B$16*Dummy_Variables!G113+Multiple_Model!$B$17*Dummy_Variables!I113+Multiple_Model!$B$18*Dummy_Variables!L113+Multiple_Model!$B$19*Dummy_Variables!H113+Multiple_Model!$B$20*Dummy_Variables!K113+Multiple_Model!$B$21*Dummy_Variables!J113+Multiple_Model!$B$22*Dummy_Variables!O113+Multiple_Model!$B$23*Dummy_Variables!P113+Multiple_Model!$B$24*Dummy_Variables!Q113+Multiple_Model!$B$25*Dummy_Variables!R113+Multiple_Model!$B$26*Dummy_Variables!S113+Multiple_Model!$B$27*Dummy_Variables!T113</f>
        <v>610531.95149896364</v>
      </c>
      <c r="G113" s="3">
        <f>E113-F113</f>
        <v>103079.2085010364</v>
      </c>
      <c r="H113" s="3">
        <f>ABS(G113)</f>
        <v>103079.2085010364</v>
      </c>
      <c r="I113" t="str">
        <f>IF(G113&gt;0,"Under-predicted","Over-predicted")</f>
        <v>Under-predicted</v>
      </c>
    </row>
    <row r="114" spans="1:9">
      <c r="A114" t="s">
        <v>50</v>
      </c>
      <c r="B114" s="2">
        <v>45658</v>
      </c>
      <c r="C114" t="s">
        <v>27</v>
      </c>
      <c r="D114" t="s">
        <v>28</v>
      </c>
      <c r="E114" s="3">
        <v>778397.97</v>
      </c>
      <c r="F114" s="3">
        <f>Multiple_Model!$B$13+Multiple_Model!$B$14*Dummy_Variables!E114+Multiple_Model!$B$15*Dummy_Variables!F114+Multiple_Model!$B$16*Dummy_Variables!G114+Multiple_Model!$B$17*Dummy_Variables!I114+Multiple_Model!$B$18*Dummy_Variables!L114+Multiple_Model!$B$19*Dummy_Variables!H114+Multiple_Model!$B$20*Dummy_Variables!K114+Multiple_Model!$B$21*Dummy_Variables!J114+Multiple_Model!$B$22*Dummy_Variables!O114+Multiple_Model!$B$23*Dummy_Variables!P114+Multiple_Model!$B$24*Dummy_Variables!Q114+Multiple_Model!$B$25*Dummy_Variables!R114+Multiple_Model!$B$26*Dummy_Variables!S114+Multiple_Model!$B$27*Dummy_Variables!T114</f>
        <v>758337.66050520516</v>
      </c>
      <c r="G114" s="3">
        <f>E114-F114</f>
        <v>20060.309494794812</v>
      </c>
      <c r="H114" s="3">
        <f>ABS(G114)</f>
        <v>20060.309494794812</v>
      </c>
      <c r="I114" t="str">
        <f>IF(G114&gt;0,"Under-predicted","Over-predicted")</f>
        <v>Under-predicted</v>
      </c>
    </row>
    <row r="115" spans="1:9">
      <c r="A115" t="s">
        <v>50</v>
      </c>
      <c r="B115" s="2">
        <v>45689</v>
      </c>
      <c r="C115" t="s">
        <v>27</v>
      </c>
      <c r="D115" t="s">
        <v>28</v>
      </c>
      <c r="E115" s="3">
        <v>873380.02</v>
      </c>
      <c r="F115" s="3">
        <f>Multiple_Model!$B$13+Multiple_Model!$B$14*Dummy_Variables!E115+Multiple_Model!$B$15*Dummy_Variables!F115+Multiple_Model!$B$16*Dummy_Variables!G115+Multiple_Model!$B$17*Dummy_Variables!I115+Multiple_Model!$B$18*Dummy_Variables!L115+Multiple_Model!$B$19*Dummy_Variables!H115+Multiple_Model!$B$20*Dummy_Variables!K115+Multiple_Model!$B$21*Dummy_Variables!J115+Multiple_Model!$B$22*Dummy_Variables!O115+Multiple_Model!$B$23*Dummy_Variables!P115+Multiple_Model!$B$24*Dummy_Variables!Q115+Multiple_Model!$B$25*Dummy_Variables!R115+Multiple_Model!$B$26*Dummy_Variables!S115+Multiple_Model!$B$27*Dummy_Variables!T115</f>
        <v>850847.16403052863</v>
      </c>
      <c r="G115" s="3">
        <f>E115-F115</f>
        <v>22532.855969471391</v>
      </c>
      <c r="H115" s="3">
        <f>ABS(G115)</f>
        <v>22532.855969471391</v>
      </c>
      <c r="I115" t="str">
        <f>IF(G115&gt;0,"Under-predicted","Over-predicted")</f>
        <v>Under-predicted</v>
      </c>
    </row>
    <row r="116" spans="1:9">
      <c r="A116" t="s">
        <v>50</v>
      </c>
      <c r="B116" s="2">
        <v>45717</v>
      </c>
      <c r="C116" t="s">
        <v>27</v>
      </c>
      <c r="D116" t="s">
        <v>28</v>
      </c>
      <c r="E116" s="3">
        <v>697287.9</v>
      </c>
      <c r="F116" s="3">
        <f>Multiple_Model!$B$13+Multiple_Model!$B$14*Dummy_Variables!E116+Multiple_Model!$B$15*Dummy_Variables!F116+Multiple_Model!$B$16*Dummy_Variables!G116+Multiple_Model!$B$17*Dummy_Variables!I116+Multiple_Model!$B$18*Dummy_Variables!L116+Multiple_Model!$B$19*Dummy_Variables!H116+Multiple_Model!$B$20*Dummy_Variables!K116+Multiple_Model!$B$21*Dummy_Variables!J116+Multiple_Model!$B$22*Dummy_Variables!O116+Multiple_Model!$B$23*Dummy_Variables!P116+Multiple_Model!$B$24*Dummy_Variables!Q116+Multiple_Model!$B$25*Dummy_Variables!R116+Multiple_Model!$B$26*Dummy_Variables!S116+Multiple_Model!$B$27*Dummy_Variables!T116</f>
        <v>752126.76761210815</v>
      </c>
      <c r="G116" s="3">
        <f>E116-F116</f>
        <v>-54838.867612108123</v>
      </c>
      <c r="H116" s="3">
        <f>ABS(G116)</f>
        <v>54838.867612108123</v>
      </c>
      <c r="I116" t="str">
        <f>IF(G116&gt;0,"Under-predicted","Over-predicted")</f>
        <v>Over-predicted</v>
      </c>
    </row>
    <row r="117" spans="1:9">
      <c r="A117" t="s">
        <v>50</v>
      </c>
      <c r="B117" s="2">
        <v>45748</v>
      </c>
      <c r="C117" t="s">
        <v>27</v>
      </c>
      <c r="D117" t="s">
        <v>28</v>
      </c>
      <c r="E117" s="3">
        <v>718074.79</v>
      </c>
      <c r="F117" s="3">
        <f>Multiple_Model!$B$13+Multiple_Model!$B$14*Dummy_Variables!E117+Multiple_Model!$B$15*Dummy_Variables!F117+Multiple_Model!$B$16*Dummy_Variables!G117+Multiple_Model!$B$17*Dummy_Variables!I117+Multiple_Model!$B$18*Dummy_Variables!L117+Multiple_Model!$B$19*Dummy_Variables!H117+Multiple_Model!$B$20*Dummy_Variables!K117+Multiple_Model!$B$21*Dummy_Variables!J117+Multiple_Model!$B$22*Dummy_Variables!O117+Multiple_Model!$B$23*Dummy_Variables!P117+Multiple_Model!$B$24*Dummy_Variables!Q117+Multiple_Model!$B$25*Dummy_Variables!R117+Multiple_Model!$B$26*Dummy_Variables!S117+Multiple_Model!$B$27*Dummy_Variables!T117</f>
        <v>761622.79255623091</v>
      </c>
      <c r="G117" s="3">
        <f>E117-F117</f>
        <v>-43548.002556230873</v>
      </c>
      <c r="H117" s="3">
        <f>ABS(G117)</f>
        <v>43548.002556230873</v>
      </c>
      <c r="I117" t="str">
        <f>IF(G117&gt;0,"Under-predicted","Over-predicted")</f>
        <v>Over-predicted</v>
      </c>
    </row>
    <row r="118" spans="1:9">
      <c r="A118" t="s">
        <v>51</v>
      </c>
      <c r="B118" s="2">
        <v>45658</v>
      </c>
      <c r="C118" t="s">
        <v>27</v>
      </c>
      <c r="D118" t="s">
        <v>16</v>
      </c>
      <c r="E118" s="3">
        <v>714942.43</v>
      </c>
      <c r="F118" s="3">
        <f>Multiple_Model!$B$13+Multiple_Model!$B$14*Dummy_Variables!E118+Multiple_Model!$B$15*Dummy_Variables!F118+Multiple_Model!$B$16*Dummy_Variables!G118+Multiple_Model!$B$17*Dummy_Variables!I118+Multiple_Model!$B$18*Dummy_Variables!L118+Multiple_Model!$B$19*Dummy_Variables!H118+Multiple_Model!$B$20*Dummy_Variables!K118+Multiple_Model!$B$21*Dummy_Variables!J118+Multiple_Model!$B$22*Dummy_Variables!O118+Multiple_Model!$B$23*Dummy_Variables!P118+Multiple_Model!$B$24*Dummy_Variables!Q118+Multiple_Model!$B$25*Dummy_Variables!R118+Multiple_Model!$B$26*Dummy_Variables!S118+Multiple_Model!$B$27*Dummy_Variables!T118</f>
        <v>729426.33434602292</v>
      </c>
      <c r="G118" s="3">
        <f>E118-F118</f>
        <v>-14483.904346022871</v>
      </c>
      <c r="H118" s="3">
        <f>ABS(G118)</f>
        <v>14483.904346022871</v>
      </c>
      <c r="I118" t="str">
        <f>IF(G118&gt;0,"Under-predicted","Over-predicted")</f>
        <v>Over-predicted</v>
      </c>
    </row>
    <row r="119" spans="1:9">
      <c r="A119" t="s">
        <v>51</v>
      </c>
      <c r="B119" s="2">
        <v>45689</v>
      </c>
      <c r="C119" t="s">
        <v>27</v>
      </c>
      <c r="D119" t="s">
        <v>16</v>
      </c>
      <c r="E119" s="3">
        <v>820519.04</v>
      </c>
      <c r="F119" s="3">
        <f>Multiple_Model!$B$13+Multiple_Model!$B$14*Dummy_Variables!E119+Multiple_Model!$B$15*Dummy_Variables!F119+Multiple_Model!$B$16*Dummy_Variables!G119+Multiple_Model!$B$17*Dummy_Variables!I119+Multiple_Model!$B$18*Dummy_Variables!L119+Multiple_Model!$B$19*Dummy_Variables!H119+Multiple_Model!$B$20*Dummy_Variables!K119+Multiple_Model!$B$21*Dummy_Variables!J119+Multiple_Model!$B$22*Dummy_Variables!O119+Multiple_Model!$B$23*Dummy_Variables!P119+Multiple_Model!$B$24*Dummy_Variables!Q119+Multiple_Model!$B$25*Dummy_Variables!R119+Multiple_Model!$B$26*Dummy_Variables!S119+Multiple_Model!$B$27*Dummy_Variables!T119</f>
        <v>738265.21984196862</v>
      </c>
      <c r="G119" s="3">
        <f>E119-F119</f>
        <v>82253.82015803142</v>
      </c>
      <c r="H119" s="3">
        <f>ABS(G119)</f>
        <v>82253.82015803142</v>
      </c>
      <c r="I119" t="str">
        <f>IF(G119&gt;0,"Under-predicted","Over-predicted")</f>
        <v>Under-predicted</v>
      </c>
    </row>
    <row r="120" spans="1:9">
      <c r="A120" t="s">
        <v>51</v>
      </c>
      <c r="B120" s="2">
        <v>45717</v>
      </c>
      <c r="C120" t="s">
        <v>27</v>
      </c>
      <c r="D120" t="s">
        <v>16</v>
      </c>
      <c r="E120" s="3">
        <v>684217.32</v>
      </c>
      <c r="F120" s="3">
        <f>Multiple_Model!$B$13+Multiple_Model!$B$14*Dummy_Variables!E120+Multiple_Model!$B$15*Dummy_Variables!F120+Multiple_Model!$B$16*Dummy_Variables!G120+Multiple_Model!$B$17*Dummy_Variables!I120+Multiple_Model!$B$18*Dummy_Variables!L120+Multiple_Model!$B$19*Dummy_Variables!H120+Multiple_Model!$B$20*Dummy_Variables!K120+Multiple_Model!$B$21*Dummy_Variables!J120+Multiple_Model!$B$22*Dummy_Variables!O120+Multiple_Model!$B$23*Dummy_Variables!P120+Multiple_Model!$B$24*Dummy_Variables!Q120+Multiple_Model!$B$25*Dummy_Variables!R120+Multiple_Model!$B$26*Dummy_Variables!S120+Multiple_Model!$B$27*Dummy_Variables!T120</f>
        <v>711152.45538224757</v>
      </c>
      <c r="G120" s="3">
        <f>E120-F120</f>
        <v>-26935.135382247623</v>
      </c>
      <c r="H120" s="3">
        <f>ABS(G120)</f>
        <v>26935.135382247623</v>
      </c>
      <c r="I120" t="str">
        <f>IF(G120&gt;0,"Under-predicted","Over-predicted")</f>
        <v>Over-predicted</v>
      </c>
    </row>
    <row r="121" spans="1:9">
      <c r="A121" t="s">
        <v>51</v>
      </c>
      <c r="B121" s="2">
        <v>45748</v>
      </c>
      <c r="C121" t="s">
        <v>27</v>
      </c>
      <c r="D121" t="s">
        <v>16</v>
      </c>
      <c r="E121" s="3">
        <v>735480.19</v>
      </c>
      <c r="F121" s="3">
        <f>Multiple_Model!$B$13+Multiple_Model!$B$14*Dummy_Variables!E121+Multiple_Model!$B$15*Dummy_Variables!F121+Multiple_Model!$B$16*Dummy_Variables!G121+Multiple_Model!$B$17*Dummy_Variables!I121+Multiple_Model!$B$18*Dummy_Variables!L121+Multiple_Model!$B$19*Dummy_Variables!H121+Multiple_Model!$B$20*Dummy_Variables!K121+Multiple_Model!$B$21*Dummy_Variables!J121+Multiple_Model!$B$22*Dummy_Variables!O121+Multiple_Model!$B$23*Dummy_Variables!P121+Multiple_Model!$B$24*Dummy_Variables!Q121+Multiple_Model!$B$25*Dummy_Variables!R121+Multiple_Model!$B$26*Dummy_Variables!S121+Multiple_Model!$B$27*Dummy_Variables!T121</f>
        <v>729033.72162381571</v>
      </c>
      <c r="G121" s="3">
        <f>E121-F121</f>
        <v>6446.4683761842316</v>
      </c>
      <c r="H121" s="3">
        <f>ABS(G121)</f>
        <v>6446.4683761842316</v>
      </c>
      <c r="I121" t="str">
        <f>IF(G121&gt;0,"Under-predicted","Over-predicted")</f>
        <v>Under-predicted</v>
      </c>
    </row>
    <row r="122" spans="1:9">
      <c r="A122" t="s">
        <v>52</v>
      </c>
      <c r="B122" s="2">
        <v>45658</v>
      </c>
      <c r="C122" t="s">
        <v>20</v>
      </c>
      <c r="D122" t="s">
        <v>18</v>
      </c>
      <c r="E122" s="3">
        <v>509484.81</v>
      </c>
      <c r="F122" s="3">
        <f>Multiple_Model!$B$13+Multiple_Model!$B$14*Dummy_Variables!E122+Multiple_Model!$B$15*Dummy_Variables!F122+Multiple_Model!$B$16*Dummy_Variables!G122+Multiple_Model!$B$17*Dummy_Variables!I122+Multiple_Model!$B$18*Dummy_Variables!L122+Multiple_Model!$B$19*Dummy_Variables!H122+Multiple_Model!$B$20*Dummy_Variables!K122+Multiple_Model!$B$21*Dummy_Variables!J122+Multiple_Model!$B$22*Dummy_Variables!O122+Multiple_Model!$B$23*Dummy_Variables!P122+Multiple_Model!$B$24*Dummy_Variables!Q122+Multiple_Model!$B$25*Dummy_Variables!R122+Multiple_Model!$B$26*Dummy_Variables!S122+Multiple_Model!$B$27*Dummy_Variables!T122</f>
        <v>558035.3013734764</v>
      </c>
      <c r="G122" s="3">
        <f>E122-F122</f>
        <v>-48550.491373476398</v>
      </c>
      <c r="H122" s="3">
        <f>ABS(G122)</f>
        <v>48550.491373476398</v>
      </c>
      <c r="I122" t="str">
        <f>IF(G122&gt;0,"Under-predicted","Over-predicted")</f>
        <v>Over-predicted</v>
      </c>
    </row>
    <row r="123" spans="1:9">
      <c r="A123" t="s">
        <v>52</v>
      </c>
      <c r="B123" s="2">
        <v>45689</v>
      </c>
      <c r="C123" t="s">
        <v>20</v>
      </c>
      <c r="D123" t="s">
        <v>18</v>
      </c>
      <c r="E123" s="3">
        <v>654317.09</v>
      </c>
      <c r="F123" s="3">
        <f>Multiple_Model!$B$13+Multiple_Model!$B$14*Dummy_Variables!E123+Multiple_Model!$B$15*Dummy_Variables!F123+Multiple_Model!$B$16*Dummy_Variables!G123+Multiple_Model!$B$17*Dummy_Variables!I123+Multiple_Model!$B$18*Dummy_Variables!L123+Multiple_Model!$B$19*Dummy_Variables!H123+Multiple_Model!$B$20*Dummy_Variables!K123+Multiple_Model!$B$21*Dummy_Variables!J123+Multiple_Model!$B$22*Dummy_Variables!O123+Multiple_Model!$B$23*Dummy_Variables!P123+Multiple_Model!$B$24*Dummy_Variables!Q123+Multiple_Model!$B$25*Dummy_Variables!R123+Multiple_Model!$B$26*Dummy_Variables!S123+Multiple_Model!$B$27*Dummy_Variables!T123</f>
        <v>634849.79096400307</v>
      </c>
      <c r="G123" s="3">
        <f>E123-F123</f>
        <v>19467.299035996897</v>
      </c>
      <c r="H123" s="3">
        <f>ABS(G123)</f>
        <v>19467.299035996897</v>
      </c>
      <c r="I123" t="str">
        <f>IF(G123&gt;0,"Under-predicted","Over-predicted")</f>
        <v>Under-predicted</v>
      </c>
    </row>
    <row r="124" spans="1:9">
      <c r="A124" t="s">
        <v>52</v>
      </c>
      <c r="B124" s="2">
        <v>45717</v>
      </c>
      <c r="C124" t="s">
        <v>20</v>
      </c>
      <c r="D124" t="s">
        <v>18</v>
      </c>
      <c r="E124" s="3">
        <v>557487.26</v>
      </c>
      <c r="F124" s="3">
        <f>Multiple_Model!$B$13+Multiple_Model!$B$14*Dummy_Variables!E124+Multiple_Model!$B$15*Dummy_Variables!F124+Multiple_Model!$B$16*Dummy_Variables!G124+Multiple_Model!$B$17*Dummy_Variables!I124+Multiple_Model!$B$18*Dummy_Variables!L124+Multiple_Model!$B$19*Dummy_Variables!H124+Multiple_Model!$B$20*Dummy_Variables!K124+Multiple_Model!$B$21*Dummy_Variables!J124+Multiple_Model!$B$22*Dummy_Variables!O124+Multiple_Model!$B$23*Dummy_Variables!P124+Multiple_Model!$B$24*Dummy_Variables!Q124+Multiple_Model!$B$25*Dummy_Variables!R124+Multiple_Model!$B$26*Dummy_Variables!S124+Multiple_Model!$B$27*Dummy_Variables!T124</f>
        <v>605790.75682439655</v>
      </c>
      <c r="G124" s="3">
        <f>E124-F124</f>
        <v>-48303.496824396541</v>
      </c>
      <c r="H124" s="3">
        <f>ABS(G124)</f>
        <v>48303.496824396541</v>
      </c>
      <c r="I124" t="str">
        <f>IF(G124&gt;0,"Under-predicted","Over-predicted")</f>
        <v>Over-predicted</v>
      </c>
    </row>
    <row r="125" spans="1:9">
      <c r="A125" t="s">
        <v>52</v>
      </c>
      <c r="B125" s="2">
        <v>45748</v>
      </c>
      <c r="C125" t="s">
        <v>20</v>
      </c>
      <c r="D125" t="s">
        <v>18</v>
      </c>
      <c r="E125" s="3">
        <v>441275.42</v>
      </c>
      <c r="F125" s="3">
        <f>Multiple_Model!$B$13+Multiple_Model!$B$14*Dummy_Variables!E125+Multiple_Model!$B$15*Dummy_Variables!F125+Multiple_Model!$B$16*Dummy_Variables!G125+Multiple_Model!$B$17*Dummy_Variables!I125+Multiple_Model!$B$18*Dummy_Variables!L125+Multiple_Model!$B$19*Dummy_Variables!H125+Multiple_Model!$B$20*Dummy_Variables!K125+Multiple_Model!$B$21*Dummy_Variables!J125+Multiple_Model!$B$22*Dummy_Variables!O125+Multiple_Model!$B$23*Dummy_Variables!P125+Multiple_Model!$B$24*Dummy_Variables!Q125+Multiple_Model!$B$25*Dummy_Variables!R125+Multiple_Model!$B$26*Dummy_Variables!S125+Multiple_Model!$B$27*Dummy_Variables!T125</f>
        <v>473373.80086966883</v>
      </c>
      <c r="G125" s="3">
        <f>E125-F125</f>
        <v>-32098.38086966885</v>
      </c>
      <c r="H125" s="3">
        <f>ABS(G125)</f>
        <v>32098.38086966885</v>
      </c>
      <c r="I125" t="str">
        <f>IF(G125&gt;0,"Under-predicted","Over-predicted")</f>
        <v>Over-predicted</v>
      </c>
    </row>
    <row r="126" spans="1:9">
      <c r="A126" t="s">
        <v>53</v>
      </c>
      <c r="B126" s="2">
        <v>45658</v>
      </c>
      <c r="C126" t="s">
        <v>24</v>
      </c>
      <c r="D126" t="s">
        <v>18</v>
      </c>
      <c r="E126" s="3">
        <v>914544.17</v>
      </c>
      <c r="F126" s="3">
        <f>Multiple_Model!$B$13+Multiple_Model!$B$14*Dummy_Variables!E126+Multiple_Model!$B$15*Dummy_Variables!F126+Multiple_Model!$B$16*Dummy_Variables!G126+Multiple_Model!$B$17*Dummy_Variables!I126+Multiple_Model!$B$18*Dummy_Variables!L126+Multiple_Model!$B$19*Dummy_Variables!H126+Multiple_Model!$B$20*Dummy_Variables!K126+Multiple_Model!$B$21*Dummy_Variables!J126+Multiple_Model!$B$22*Dummy_Variables!O126+Multiple_Model!$B$23*Dummy_Variables!P126+Multiple_Model!$B$24*Dummy_Variables!Q126+Multiple_Model!$B$25*Dummy_Variables!R126+Multiple_Model!$B$26*Dummy_Variables!S126+Multiple_Model!$B$27*Dummy_Variables!T126</f>
        <v>861155.74646966415</v>
      </c>
      <c r="G126" s="3">
        <f>E126-F126</f>
        <v>53388.423530335887</v>
      </c>
      <c r="H126" s="3">
        <f>ABS(G126)</f>
        <v>53388.423530335887</v>
      </c>
      <c r="I126" t="str">
        <f>IF(G126&gt;0,"Under-predicted","Over-predicted")</f>
        <v>Under-predicted</v>
      </c>
    </row>
    <row r="127" spans="1:9">
      <c r="A127" t="s">
        <v>53</v>
      </c>
      <c r="B127" s="2">
        <v>45689</v>
      </c>
      <c r="C127" t="s">
        <v>24</v>
      </c>
      <c r="D127" t="s">
        <v>18</v>
      </c>
      <c r="E127" s="3">
        <v>842439.67</v>
      </c>
      <c r="F127" s="3">
        <f>Multiple_Model!$B$13+Multiple_Model!$B$14*Dummy_Variables!E127+Multiple_Model!$B$15*Dummy_Variables!F127+Multiple_Model!$B$16*Dummy_Variables!G127+Multiple_Model!$B$17*Dummy_Variables!I127+Multiple_Model!$B$18*Dummy_Variables!L127+Multiple_Model!$B$19*Dummy_Variables!H127+Multiple_Model!$B$20*Dummy_Variables!K127+Multiple_Model!$B$21*Dummy_Variables!J127+Multiple_Model!$B$22*Dummy_Variables!O127+Multiple_Model!$B$23*Dummy_Variables!P127+Multiple_Model!$B$24*Dummy_Variables!Q127+Multiple_Model!$B$25*Dummy_Variables!R127+Multiple_Model!$B$26*Dummy_Variables!S127+Multiple_Model!$B$27*Dummy_Variables!T127</f>
        <v>881517.54454881488</v>
      </c>
      <c r="G127" s="3">
        <f>E127-F127</f>
        <v>-39077.874548814842</v>
      </c>
      <c r="H127" s="3">
        <f>ABS(G127)</f>
        <v>39077.874548814842</v>
      </c>
      <c r="I127" t="str">
        <f>IF(G127&gt;0,"Under-predicted","Over-predicted")</f>
        <v>Over-predicted</v>
      </c>
    </row>
    <row r="128" spans="1:9">
      <c r="A128" t="s">
        <v>53</v>
      </c>
      <c r="B128" s="2">
        <v>45717</v>
      </c>
      <c r="C128" t="s">
        <v>24</v>
      </c>
      <c r="D128" t="s">
        <v>18</v>
      </c>
      <c r="E128" s="3">
        <v>842157.92</v>
      </c>
      <c r="F128" s="3">
        <f>Multiple_Model!$B$13+Multiple_Model!$B$14*Dummy_Variables!E128+Multiple_Model!$B$15*Dummy_Variables!F128+Multiple_Model!$B$16*Dummy_Variables!G128+Multiple_Model!$B$17*Dummy_Variables!I128+Multiple_Model!$B$18*Dummy_Variables!L128+Multiple_Model!$B$19*Dummy_Variables!H128+Multiple_Model!$B$20*Dummy_Variables!K128+Multiple_Model!$B$21*Dummy_Variables!J128+Multiple_Model!$B$22*Dummy_Variables!O128+Multiple_Model!$B$23*Dummy_Variables!P128+Multiple_Model!$B$24*Dummy_Variables!Q128+Multiple_Model!$B$25*Dummy_Variables!R128+Multiple_Model!$B$26*Dummy_Variables!S128+Multiple_Model!$B$27*Dummy_Variables!T128</f>
        <v>802864.55775592371</v>
      </c>
      <c r="G128" s="3">
        <f>E128-F128</f>
        <v>39293.362244076328</v>
      </c>
      <c r="H128" s="3">
        <f>ABS(G128)</f>
        <v>39293.362244076328</v>
      </c>
      <c r="I128" t="str">
        <f>IF(G128&gt;0,"Under-predicted","Over-predicted")</f>
        <v>Under-predicted</v>
      </c>
    </row>
    <row r="129" spans="1:9">
      <c r="A129" t="s">
        <v>53</v>
      </c>
      <c r="B129" s="2">
        <v>45748</v>
      </c>
      <c r="C129" t="s">
        <v>24</v>
      </c>
      <c r="D129" t="s">
        <v>18</v>
      </c>
      <c r="E129" s="3">
        <v>697155.3</v>
      </c>
      <c r="F129" s="3">
        <f>Multiple_Model!$B$13+Multiple_Model!$B$14*Dummy_Variables!E129+Multiple_Model!$B$15*Dummy_Variables!F129+Multiple_Model!$B$16*Dummy_Variables!G129+Multiple_Model!$B$17*Dummy_Variables!I129+Multiple_Model!$B$18*Dummy_Variables!L129+Multiple_Model!$B$19*Dummy_Variables!H129+Multiple_Model!$B$20*Dummy_Variables!K129+Multiple_Model!$B$21*Dummy_Variables!J129+Multiple_Model!$B$22*Dummy_Variables!O129+Multiple_Model!$B$23*Dummy_Variables!P129+Multiple_Model!$B$24*Dummy_Variables!Q129+Multiple_Model!$B$25*Dummy_Variables!R129+Multiple_Model!$B$26*Dummy_Variables!S129+Multiple_Model!$B$27*Dummy_Variables!T129</f>
        <v>714781.74244052183</v>
      </c>
      <c r="G129" s="3">
        <f>E129-F129</f>
        <v>-17626.442440521787</v>
      </c>
      <c r="H129" s="3">
        <f>ABS(G129)</f>
        <v>17626.442440521787</v>
      </c>
      <c r="I129" t="str">
        <f>IF(G129&gt;0,"Under-predicted","Over-predicted")</f>
        <v>Over-predicted</v>
      </c>
    </row>
    <row r="130" spans="1:9">
      <c r="A130" t="s">
        <v>54</v>
      </c>
      <c r="B130" s="2">
        <v>45658</v>
      </c>
      <c r="C130" t="s">
        <v>15</v>
      </c>
      <c r="D130" t="s">
        <v>18</v>
      </c>
      <c r="E130" s="3">
        <v>849018.3</v>
      </c>
      <c r="F130" s="3">
        <f>Multiple_Model!$B$13+Multiple_Model!$B$14*Dummy_Variables!E130+Multiple_Model!$B$15*Dummy_Variables!F130+Multiple_Model!$B$16*Dummy_Variables!G130+Multiple_Model!$B$17*Dummy_Variables!I130+Multiple_Model!$B$18*Dummy_Variables!L130+Multiple_Model!$B$19*Dummy_Variables!H130+Multiple_Model!$B$20*Dummy_Variables!K130+Multiple_Model!$B$21*Dummy_Variables!J130+Multiple_Model!$B$22*Dummy_Variables!O130+Multiple_Model!$B$23*Dummy_Variables!P130+Multiple_Model!$B$24*Dummy_Variables!Q130+Multiple_Model!$B$25*Dummy_Variables!R130+Multiple_Model!$B$26*Dummy_Variables!S130+Multiple_Model!$B$27*Dummy_Variables!T130</f>
        <v>857937.8463170646</v>
      </c>
      <c r="G130" s="3">
        <f>E130-F130</f>
        <v>-8919.5463170645526</v>
      </c>
      <c r="H130" s="3">
        <f>ABS(G130)</f>
        <v>8919.5463170645526</v>
      </c>
      <c r="I130" t="str">
        <f>IF(G130&gt;0,"Under-predicted","Over-predicted")</f>
        <v>Over-predicted</v>
      </c>
    </row>
    <row r="131" spans="1:9">
      <c r="A131" t="s">
        <v>54</v>
      </c>
      <c r="B131" s="2">
        <v>45689</v>
      </c>
      <c r="C131" t="s">
        <v>15</v>
      </c>
      <c r="D131" t="s">
        <v>18</v>
      </c>
      <c r="E131" s="3">
        <v>801830.35</v>
      </c>
      <c r="F131" s="3">
        <f>Multiple_Model!$B$13+Multiple_Model!$B$14*Dummy_Variables!E131+Multiple_Model!$B$15*Dummy_Variables!F131+Multiple_Model!$B$16*Dummy_Variables!G131+Multiple_Model!$B$17*Dummy_Variables!I131+Multiple_Model!$B$18*Dummy_Variables!L131+Multiple_Model!$B$19*Dummy_Variables!H131+Multiple_Model!$B$20*Dummy_Variables!K131+Multiple_Model!$B$21*Dummy_Variables!J131+Multiple_Model!$B$22*Dummy_Variables!O131+Multiple_Model!$B$23*Dummy_Variables!P131+Multiple_Model!$B$24*Dummy_Variables!Q131+Multiple_Model!$B$25*Dummy_Variables!R131+Multiple_Model!$B$26*Dummy_Variables!S131+Multiple_Model!$B$27*Dummy_Variables!T131</f>
        <v>811409.92775302753</v>
      </c>
      <c r="G131" s="3">
        <f>E131-F131</f>
        <v>-9579.5777530275518</v>
      </c>
      <c r="H131" s="3">
        <f>ABS(G131)</f>
        <v>9579.5777530275518</v>
      </c>
      <c r="I131" t="str">
        <f>IF(G131&gt;0,"Under-predicted","Over-predicted")</f>
        <v>Over-predicted</v>
      </c>
    </row>
    <row r="132" spans="1:9">
      <c r="A132" t="s">
        <v>54</v>
      </c>
      <c r="B132" s="2">
        <v>45717</v>
      </c>
      <c r="C132" t="s">
        <v>15</v>
      </c>
      <c r="D132" t="s">
        <v>18</v>
      </c>
      <c r="E132" s="3">
        <v>725235.28</v>
      </c>
      <c r="F132" s="3">
        <f>Multiple_Model!$B$13+Multiple_Model!$B$14*Dummy_Variables!E132+Multiple_Model!$B$15*Dummy_Variables!F132+Multiple_Model!$B$16*Dummy_Variables!G132+Multiple_Model!$B$17*Dummy_Variables!I132+Multiple_Model!$B$18*Dummy_Variables!L132+Multiple_Model!$B$19*Dummy_Variables!H132+Multiple_Model!$B$20*Dummy_Variables!K132+Multiple_Model!$B$21*Dummy_Variables!J132+Multiple_Model!$B$22*Dummy_Variables!O132+Multiple_Model!$B$23*Dummy_Variables!P132+Multiple_Model!$B$24*Dummy_Variables!Q132+Multiple_Model!$B$25*Dummy_Variables!R132+Multiple_Model!$B$26*Dummy_Variables!S132+Multiple_Model!$B$27*Dummy_Variables!T132</f>
        <v>787979.29743119841</v>
      </c>
      <c r="G132" s="3">
        <f>E132-F132</f>
        <v>-62744.017431198386</v>
      </c>
      <c r="H132" s="3">
        <f>ABS(G132)</f>
        <v>62744.017431198386</v>
      </c>
      <c r="I132" t="str">
        <f>IF(G132&gt;0,"Under-predicted","Over-predicted")</f>
        <v>Over-predicted</v>
      </c>
    </row>
    <row r="133" spans="1:9">
      <c r="A133" t="s">
        <v>54</v>
      </c>
      <c r="B133" s="2">
        <v>45748</v>
      </c>
      <c r="C133" t="s">
        <v>15</v>
      </c>
      <c r="D133" t="s">
        <v>18</v>
      </c>
      <c r="E133" s="3">
        <v>811452.72</v>
      </c>
      <c r="F133" s="3">
        <f>Multiple_Model!$B$13+Multiple_Model!$B$14*Dummy_Variables!E133+Multiple_Model!$B$15*Dummy_Variables!F133+Multiple_Model!$B$16*Dummy_Variables!G133+Multiple_Model!$B$17*Dummy_Variables!I133+Multiple_Model!$B$18*Dummy_Variables!L133+Multiple_Model!$B$19*Dummy_Variables!H133+Multiple_Model!$B$20*Dummy_Variables!K133+Multiple_Model!$B$21*Dummy_Variables!J133+Multiple_Model!$B$22*Dummy_Variables!O133+Multiple_Model!$B$23*Dummy_Variables!P133+Multiple_Model!$B$24*Dummy_Variables!Q133+Multiple_Model!$B$25*Dummy_Variables!R133+Multiple_Model!$B$26*Dummy_Variables!S133+Multiple_Model!$B$27*Dummy_Variables!T133</f>
        <v>805494.55669321644</v>
      </c>
      <c r="G133" s="3">
        <f>E133-F133</f>
        <v>5958.1633067835355</v>
      </c>
      <c r="H133" s="3">
        <f>ABS(G133)</f>
        <v>5958.1633067835355</v>
      </c>
      <c r="I133" t="str">
        <f>IF(G133&gt;0,"Under-predicted","Over-predicted")</f>
        <v>Under-predicted</v>
      </c>
    </row>
    <row r="134" spans="1:9">
      <c r="A134" t="s">
        <v>55</v>
      </c>
      <c r="B134" s="2">
        <v>45658</v>
      </c>
      <c r="C134" t="s">
        <v>20</v>
      </c>
      <c r="D134" t="s">
        <v>18</v>
      </c>
      <c r="E134" s="3">
        <v>527300.13</v>
      </c>
      <c r="F134" s="3">
        <f>Multiple_Model!$B$13+Multiple_Model!$B$14*Dummy_Variables!E134+Multiple_Model!$B$15*Dummy_Variables!F134+Multiple_Model!$B$16*Dummy_Variables!G134+Multiple_Model!$B$17*Dummy_Variables!I134+Multiple_Model!$B$18*Dummy_Variables!L134+Multiple_Model!$B$19*Dummy_Variables!H134+Multiple_Model!$B$20*Dummy_Variables!K134+Multiple_Model!$B$21*Dummy_Variables!J134+Multiple_Model!$B$22*Dummy_Variables!O134+Multiple_Model!$B$23*Dummy_Variables!P134+Multiple_Model!$B$24*Dummy_Variables!Q134+Multiple_Model!$B$25*Dummy_Variables!R134+Multiple_Model!$B$26*Dummy_Variables!S134+Multiple_Model!$B$27*Dummy_Variables!T134</f>
        <v>579570.96773600136</v>
      </c>
      <c r="G134" s="3">
        <f>E134-F134</f>
        <v>-52270.837736001355</v>
      </c>
      <c r="H134" s="3">
        <f>ABS(G134)</f>
        <v>52270.837736001355</v>
      </c>
      <c r="I134" t="str">
        <f>IF(G134&gt;0,"Under-predicted","Over-predicted")</f>
        <v>Over-predicted</v>
      </c>
    </row>
    <row r="135" spans="1:9">
      <c r="A135" t="s">
        <v>55</v>
      </c>
      <c r="B135" s="2">
        <v>45689</v>
      </c>
      <c r="C135" t="s">
        <v>20</v>
      </c>
      <c r="D135" t="s">
        <v>18</v>
      </c>
      <c r="E135" s="3">
        <v>400831.65</v>
      </c>
      <c r="F135" s="3">
        <f>Multiple_Model!$B$13+Multiple_Model!$B$14*Dummy_Variables!E135+Multiple_Model!$B$15*Dummy_Variables!F135+Multiple_Model!$B$16*Dummy_Variables!G135+Multiple_Model!$B$17*Dummy_Variables!I135+Multiple_Model!$B$18*Dummy_Variables!L135+Multiple_Model!$B$19*Dummy_Variables!H135+Multiple_Model!$B$20*Dummy_Variables!K135+Multiple_Model!$B$21*Dummy_Variables!J135+Multiple_Model!$B$22*Dummy_Variables!O135+Multiple_Model!$B$23*Dummy_Variables!P135+Multiple_Model!$B$24*Dummy_Variables!Q135+Multiple_Model!$B$25*Dummy_Variables!R135+Multiple_Model!$B$26*Dummy_Variables!S135+Multiple_Model!$B$27*Dummy_Variables!T135</f>
        <v>462518.95140279282</v>
      </c>
      <c r="G135" s="3">
        <f>E135-F135</f>
        <v>-61687.3014027928</v>
      </c>
      <c r="H135" s="3">
        <f>ABS(G135)</f>
        <v>61687.3014027928</v>
      </c>
      <c r="I135" t="str">
        <f>IF(G135&gt;0,"Under-predicted","Over-predicted")</f>
        <v>Over-predicted</v>
      </c>
    </row>
    <row r="136" spans="1:9">
      <c r="A136" t="s">
        <v>55</v>
      </c>
      <c r="B136" s="2">
        <v>45717</v>
      </c>
      <c r="C136" t="s">
        <v>20</v>
      </c>
      <c r="D136" t="s">
        <v>18</v>
      </c>
      <c r="E136" s="3">
        <v>593247.25</v>
      </c>
      <c r="F136" s="3">
        <f>Multiple_Model!$B$13+Multiple_Model!$B$14*Dummy_Variables!E136+Multiple_Model!$B$15*Dummy_Variables!F136+Multiple_Model!$B$16*Dummy_Variables!G136+Multiple_Model!$B$17*Dummy_Variables!I136+Multiple_Model!$B$18*Dummy_Variables!L136+Multiple_Model!$B$19*Dummy_Variables!H136+Multiple_Model!$B$20*Dummy_Variables!K136+Multiple_Model!$B$21*Dummy_Variables!J136+Multiple_Model!$B$22*Dummy_Variables!O136+Multiple_Model!$B$23*Dummy_Variables!P136+Multiple_Model!$B$24*Dummy_Variables!Q136+Multiple_Model!$B$25*Dummy_Variables!R136+Multiple_Model!$B$26*Dummy_Variables!S136+Multiple_Model!$B$27*Dummy_Variables!T136</f>
        <v>614172.71363324614</v>
      </c>
      <c r="G136" s="3">
        <f>E136-F136</f>
        <v>-20925.463633246138</v>
      </c>
      <c r="H136" s="3">
        <f>ABS(G136)</f>
        <v>20925.463633246138</v>
      </c>
      <c r="I136" t="str">
        <f>IF(G136&gt;0,"Under-predicted","Over-predicted")</f>
        <v>Over-predicted</v>
      </c>
    </row>
    <row r="137" spans="1:9">
      <c r="A137" t="s">
        <v>55</v>
      </c>
      <c r="B137" s="2">
        <v>45748</v>
      </c>
      <c r="C137" t="s">
        <v>20</v>
      </c>
      <c r="D137" t="s">
        <v>18</v>
      </c>
      <c r="E137" s="3">
        <v>529075.94999999995</v>
      </c>
      <c r="F137" s="3">
        <f>Multiple_Model!$B$13+Multiple_Model!$B$14*Dummy_Variables!E137+Multiple_Model!$B$15*Dummy_Variables!F137+Multiple_Model!$B$16*Dummy_Variables!G137+Multiple_Model!$B$17*Dummy_Variables!I137+Multiple_Model!$B$18*Dummy_Variables!L137+Multiple_Model!$B$19*Dummy_Variables!H137+Multiple_Model!$B$20*Dummy_Variables!K137+Multiple_Model!$B$21*Dummy_Variables!J137+Multiple_Model!$B$22*Dummy_Variables!O137+Multiple_Model!$B$23*Dummy_Variables!P137+Multiple_Model!$B$24*Dummy_Variables!Q137+Multiple_Model!$B$25*Dummy_Variables!R137+Multiple_Model!$B$26*Dummy_Variables!S137+Multiple_Model!$B$27*Dummy_Variables!T137</f>
        <v>552680.72148428531</v>
      </c>
      <c r="G137" s="3">
        <f>E137-F137</f>
        <v>-23604.77148428536</v>
      </c>
      <c r="H137" s="3">
        <f>ABS(G137)</f>
        <v>23604.77148428536</v>
      </c>
      <c r="I137" t="str">
        <f>IF(G137&gt;0,"Under-predicted","Over-predicted")</f>
        <v>Over-predicted</v>
      </c>
    </row>
    <row r="138" spans="1:9">
      <c r="A138" t="s">
        <v>56</v>
      </c>
      <c r="B138" s="2">
        <v>45658</v>
      </c>
      <c r="C138" t="s">
        <v>24</v>
      </c>
      <c r="D138" t="s">
        <v>16</v>
      </c>
      <c r="E138" s="3">
        <v>633638.03</v>
      </c>
      <c r="F138" s="3">
        <f>Multiple_Model!$B$13+Multiple_Model!$B$14*Dummy_Variables!E138+Multiple_Model!$B$15*Dummy_Variables!F138+Multiple_Model!$B$16*Dummy_Variables!G138+Multiple_Model!$B$17*Dummy_Variables!I138+Multiple_Model!$B$18*Dummy_Variables!L138+Multiple_Model!$B$19*Dummy_Variables!H138+Multiple_Model!$B$20*Dummy_Variables!K138+Multiple_Model!$B$21*Dummy_Variables!J138+Multiple_Model!$B$22*Dummy_Variables!O138+Multiple_Model!$B$23*Dummy_Variables!P138+Multiple_Model!$B$24*Dummy_Variables!Q138+Multiple_Model!$B$25*Dummy_Variables!R138+Multiple_Model!$B$26*Dummy_Variables!S138+Multiple_Model!$B$27*Dummy_Variables!T138</f>
        <v>709078.68663851894</v>
      </c>
      <c r="G138" s="3">
        <f>E138-F138</f>
        <v>-75440.656638518907</v>
      </c>
      <c r="H138" s="3">
        <f>ABS(G138)</f>
        <v>75440.656638518907</v>
      </c>
      <c r="I138" t="str">
        <f>IF(G138&gt;0,"Under-predicted","Over-predicted")</f>
        <v>Over-predicted</v>
      </c>
    </row>
    <row r="139" spans="1:9">
      <c r="A139" t="s">
        <v>56</v>
      </c>
      <c r="B139" s="2">
        <v>45689</v>
      </c>
      <c r="C139" t="s">
        <v>24</v>
      </c>
      <c r="D139" t="s">
        <v>16</v>
      </c>
      <c r="E139" s="3">
        <v>743348.84</v>
      </c>
      <c r="F139" s="3">
        <f>Multiple_Model!$B$13+Multiple_Model!$B$14*Dummy_Variables!E139+Multiple_Model!$B$15*Dummy_Variables!F139+Multiple_Model!$B$16*Dummy_Variables!G139+Multiple_Model!$B$17*Dummy_Variables!I139+Multiple_Model!$B$18*Dummy_Variables!L139+Multiple_Model!$B$19*Dummy_Variables!H139+Multiple_Model!$B$20*Dummy_Variables!K139+Multiple_Model!$B$21*Dummy_Variables!J139+Multiple_Model!$B$22*Dummy_Variables!O139+Multiple_Model!$B$23*Dummy_Variables!P139+Multiple_Model!$B$24*Dummy_Variables!Q139+Multiple_Model!$B$25*Dummy_Variables!R139+Multiple_Model!$B$26*Dummy_Variables!S139+Multiple_Model!$B$27*Dummy_Variables!T139</f>
        <v>689448.54553858528</v>
      </c>
      <c r="G139" s="3">
        <f>E139-F139</f>
        <v>53900.294461414684</v>
      </c>
      <c r="H139" s="3">
        <f>ABS(G139)</f>
        <v>53900.294461414684</v>
      </c>
      <c r="I139" t="str">
        <f>IF(G139&gt;0,"Under-predicted","Over-predicted")</f>
        <v>Under-predicted</v>
      </c>
    </row>
    <row r="140" spans="1:9">
      <c r="A140" t="s">
        <v>56</v>
      </c>
      <c r="B140" s="2">
        <v>45717</v>
      </c>
      <c r="C140" t="s">
        <v>24</v>
      </c>
      <c r="D140" t="s">
        <v>16</v>
      </c>
      <c r="E140" s="3">
        <v>758827.64</v>
      </c>
      <c r="F140" s="3">
        <f>Multiple_Model!$B$13+Multiple_Model!$B$14*Dummy_Variables!E140+Multiple_Model!$B$15*Dummy_Variables!F140+Multiple_Model!$B$16*Dummy_Variables!G140+Multiple_Model!$B$17*Dummy_Variables!I140+Multiple_Model!$B$18*Dummy_Variables!L140+Multiple_Model!$B$19*Dummy_Variables!H140+Multiple_Model!$B$20*Dummy_Variables!K140+Multiple_Model!$B$21*Dummy_Variables!J140+Multiple_Model!$B$22*Dummy_Variables!O140+Multiple_Model!$B$23*Dummy_Variables!P140+Multiple_Model!$B$24*Dummy_Variables!Q140+Multiple_Model!$B$25*Dummy_Variables!R140+Multiple_Model!$B$26*Dummy_Variables!S140+Multiple_Model!$B$27*Dummy_Variables!T140</f>
        <v>712638.98676670634</v>
      </c>
      <c r="G140" s="3">
        <f>E140-F140</f>
        <v>46188.653233293677</v>
      </c>
      <c r="H140" s="3">
        <f>ABS(G140)</f>
        <v>46188.653233293677</v>
      </c>
      <c r="I140" t="str">
        <f>IF(G140&gt;0,"Under-predicted","Over-predicted")</f>
        <v>Under-predicted</v>
      </c>
    </row>
    <row r="141" spans="1:9">
      <c r="A141" t="s">
        <v>56</v>
      </c>
      <c r="B141" s="2">
        <v>45748</v>
      </c>
      <c r="C141" t="s">
        <v>24</v>
      </c>
      <c r="D141" t="s">
        <v>16</v>
      </c>
      <c r="E141" s="3">
        <v>646559.71</v>
      </c>
      <c r="F141" s="3">
        <f>Multiple_Model!$B$13+Multiple_Model!$B$14*Dummy_Variables!E141+Multiple_Model!$B$15*Dummy_Variables!F141+Multiple_Model!$B$16*Dummy_Variables!G141+Multiple_Model!$B$17*Dummy_Variables!I141+Multiple_Model!$B$18*Dummy_Variables!L141+Multiple_Model!$B$19*Dummy_Variables!H141+Multiple_Model!$B$20*Dummy_Variables!K141+Multiple_Model!$B$21*Dummy_Variables!J141+Multiple_Model!$B$22*Dummy_Variables!O141+Multiple_Model!$B$23*Dummy_Variables!P141+Multiple_Model!$B$24*Dummy_Variables!Q141+Multiple_Model!$B$25*Dummy_Variables!R141+Multiple_Model!$B$26*Dummy_Variables!S141+Multiple_Model!$B$27*Dummy_Variables!T141</f>
        <v>610684.39403344365</v>
      </c>
      <c r="G141" s="3">
        <f>E141-F141</f>
        <v>35875.315966556314</v>
      </c>
      <c r="H141" s="3">
        <f>ABS(G141)</f>
        <v>35875.315966556314</v>
      </c>
      <c r="I141" t="str">
        <f>IF(G141&gt;0,"Under-predicted","Over-predicted")</f>
        <v>Under-predicted</v>
      </c>
    </row>
    <row r="142" spans="1:9">
      <c r="A142" t="s">
        <v>57</v>
      </c>
      <c r="B142" s="2">
        <v>45658</v>
      </c>
      <c r="C142" t="s">
        <v>27</v>
      </c>
      <c r="D142" t="s">
        <v>18</v>
      </c>
      <c r="E142" s="3">
        <v>715890.53</v>
      </c>
      <c r="F142" s="3">
        <f>Multiple_Model!$B$13+Multiple_Model!$B$14*Dummy_Variables!E142+Multiple_Model!$B$15*Dummy_Variables!F142+Multiple_Model!$B$16*Dummy_Variables!G142+Multiple_Model!$B$17*Dummy_Variables!I142+Multiple_Model!$B$18*Dummy_Variables!L142+Multiple_Model!$B$19*Dummy_Variables!H142+Multiple_Model!$B$20*Dummy_Variables!K142+Multiple_Model!$B$21*Dummy_Variables!J142+Multiple_Model!$B$22*Dummy_Variables!O142+Multiple_Model!$B$23*Dummy_Variables!P142+Multiple_Model!$B$24*Dummy_Variables!Q142+Multiple_Model!$B$25*Dummy_Variables!R142+Multiple_Model!$B$26*Dummy_Variables!S142+Multiple_Model!$B$27*Dummy_Variables!T142</f>
        <v>685083.86257874896</v>
      </c>
      <c r="G142" s="3">
        <f>E142-F142</f>
        <v>30806.66742125107</v>
      </c>
      <c r="H142" s="3">
        <f>ABS(G142)</f>
        <v>30806.66742125107</v>
      </c>
      <c r="I142" t="str">
        <f>IF(G142&gt;0,"Under-predicted","Over-predicted")</f>
        <v>Under-predicted</v>
      </c>
    </row>
    <row r="143" spans="1:9">
      <c r="A143" t="s">
        <v>57</v>
      </c>
      <c r="B143" s="2">
        <v>45689</v>
      </c>
      <c r="C143" t="s">
        <v>27</v>
      </c>
      <c r="D143" t="s">
        <v>18</v>
      </c>
      <c r="E143" s="3">
        <v>715097.57</v>
      </c>
      <c r="F143" s="3">
        <f>Multiple_Model!$B$13+Multiple_Model!$B$14*Dummy_Variables!E143+Multiple_Model!$B$15*Dummy_Variables!F143+Multiple_Model!$B$16*Dummy_Variables!G143+Multiple_Model!$B$17*Dummy_Variables!I143+Multiple_Model!$B$18*Dummy_Variables!L143+Multiple_Model!$B$19*Dummy_Variables!H143+Multiple_Model!$B$20*Dummy_Variables!K143+Multiple_Model!$B$21*Dummy_Variables!J143+Multiple_Model!$B$22*Dummy_Variables!O143+Multiple_Model!$B$23*Dummy_Variables!P143+Multiple_Model!$B$24*Dummy_Variables!Q143+Multiple_Model!$B$25*Dummy_Variables!R143+Multiple_Model!$B$26*Dummy_Variables!S143+Multiple_Model!$B$27*Dummy_Variables!T143</f>
        <v>707717.58164123551</v>
      </c>
      <c r="G143" s="3">
        <f>E143-F143</f>
        <v>7379.9883587644435</v>
      </c>
      <c r="H143" s="3">
        <f>ABS(G143)</f>
        <v>7379.9883587644435</v>
      </c>
      <c r="I143" t="str">
        <f>IF(G143&gt;0,"Under-predicted","Over-predicted")</f>
        <v>Under-predicted</v>
      </c>
    </row>
    <row r="144" spans="1:9">
      <c r="A144" t="s">
        <v>57</v>
      </c>
      <c r="B144" s="2">
        <v>45717</v>
      </c>
      <c r="C144" t="s">
        <v>27</v>
      </c>
      <c r="D144" t="s">
        <v>18</v>
      </c>
      <c r="E144" s="3">
        <v>682639.28</v>
      </c>
      <c r="F144" s="3">
        <f>Multiple_Model!$B$13+Multiple_Model!$B$14*Dummy_Variables!E144+Multiple_Model!$B$15*Dummy_Variables!F144+Multiple_Model!$B$16*Dummy_Variables!G144+Multiple_Model!$B$17*Dummy_Variables!I144+Multiple_Model!$B$18*Dummy_Variables!L144+Multiple_Model!$B$19*Dummy_Variables!H144+Multiple_Model!$B$20*Dummy_Variables!K144+Multiple_Model!$B$21*Dummy_Variables!J144+Multiple_Model!$B$22*Dummy_Variables!O144+Multiple_Model!$B$23*Dummy_Variables!P144+Multiple_Model!$B$24*Dummy_Variables!Q144+Multiple_Model!$B$25*Dummy_Variables!R144+Multiple_Model!$B$26*Dummy_Variables!S144+Multiple_Model!$B$27*Dummy_Variables!T144</f>
        <v>663018.24452501198</v>
      </c>
      <c r="G144" s="3">
        <f>E144-F144</f>
        <v>19621.03547498805</v>
      </c>
      <c r="H144" s="3">
        <f>ABS(G144)</f>
        <v>19621.03547498805</v>
      </c>
      <c r="I144" t="str">
        <f>IF(G144&gt;0,"Under-predicted","Over-predicted")</f>
        <v>Under-predicted</v>
      </c>
    </row>
    <row r="145" spans="1:9">
      <c r="A145" t="s">
        <v>57</v>
      </c>
      <c r="B145" s="2">
        <v>45748</v>
      </c>
      <c r="C145" t="s">
        <v>27</v>
      </c>
      <c r="D145" t="s">
        <v>18</v>
      </c>
      <c r="E145" s="3">
        <v>695098.51</v>
      </c>
      <c r="F145" s="3">
        <f>Multiple_Model!$B$13+Multiple_Model!$B$14*Dummy_Variables!E145+Multiple_Model!$B$15*Dummy_Variables!F145+Multiple_Model!$B$16*Dummy_Variables!G145+Multiple_Model!$B$17*Dummy_Variables!I145+Multiple_Model!$B$18*Dummy_Variables!L145+Multiple_Model!$B$19*Dummy_Variables!H145+Multiple_Model!$B$20*Dummy_Variables!K145+Multiple_Model!$B$21*Dummy_Variables!J145+Multiple_Model!$B$22*Dummy_Variables!O145+Multiple_Model!$B$23*Dummy_Variables!P145+Multiple_Model!$B$24*Dummy_Variables!Q145+Multiple_Model!$B$25*Dummy_Variables!R145+Multiple_Model!$B$26*Dummy_Variables!S145+Multiple_Model!$B$27*Dummy_Variables!T145</f>
        <v>676759.30408286094</v>
      </c>
      <c r="G145" s="3">
        <f>E145-F145</f>
        <v>18339.205917139072</v>
      </c>
      <c r="H145" s="3">
        <f>ABS(G145)</f>
        <v>18339.205917139072</v>
      </c>
      <c r="I145" t="str">
        <f>IF(G145&gt;0,"Under-predicted","Over-predicted")</f>
        <v>Under-predicted</v>
      </c>
    </row>
    <row r="146" spans="1:9">
      <c r="A146" t="s">
        <v>58</v>
      </c>
      <c r="B146" s="2">
        <v>45658</v>
      </c>
      <c r="C146" t="s">
        <v>20</v>
      </c>
      <c r="D146" t="s">
        <v>16</v>
      </c>
      <c r="E146" s="3">
        <v>577732.56999999995</v>
      </c>
      <c r="F146" s="3">
        <f>Multiple_Model!$B$13+Multiple_Model!$B$14*Dummy_Variables!E146+Multiple_Model!$B$15*Dummy_Variables!F146+Multiple_Model!$B$16*Dummy_Variables!G146+Multiple_Model!$B$17*Dummy_Variables!I146+Multiple_Model!$B$18*Dummy_Variables!L146+Multiple_Model!$B$19*Dummy_Variables!H146+Multiple_Model!$B$20*Dummy_Variables!K146+Multiple_Model!$B$21*Dummy_Variables!J146+Multiple_Model!$B$22*Dummy_Variables!O146+Multiple_Model!$B$23*Dummy_Variables!P146+Multiple_Model!$B$24*Dummy_Variables!Q146+Multiple_Model!$B$25*Dummy_Variables!R146+Multiple_Model!$B$26*Dummy_Variables!S146+Multiple_Model!$B$27*Dummy_Variables!T146</f>
        <v>593349.0785892742</v>
      </c>
      <c r="G146" s="3">
        <f>E146-F146</f>
        <v>-15616.50858927425</v>
      </c>
      <c r="H146" s="3">
        <f>ABS(G146)</f>
        <v>15616.50858927425</v>
      </c>
      <c r="I146" t="str">
        <f>IF(G146&gt;0,"Under-predicted","Over-predicted")</f>
        <v>Over-predicted</v>
      </c>
    </row>
    <row r="147" spans="1:9">
      <c r="A147" t="s">
        <v>58</v>
      </c>
      <c r="B147" s="2">
        <v>45689</v>
      </c>
      <c r="C147" t="s">
        <v>20</v>
      </c>
      <c r="D147" t="s">
        <v>16</v>
      </c>
      <c r="E147" s="3">
        <v>537058.32999999996</v>
      </c>
      <c r="F147" s="3">
        <f>Multiple_Model!$B$13+Multiple_Model!$B$14*Dummy_Variables!E147+Multiple_Model!$B$15*Dummy_Variables!F147+Multiple_Model!$B$16*Dummy_Variables!G147+Multiple_Model!$B$17*Dummy_Variables!I147+Multiple_Model!$B$18*Dummy_Variables!L147+Multiple_Model!$B$19*Dummy_Variables!H147+Multiple_Model!$B$20*Dummy_Variables!K147+Multiple_Model!$B$21*Dummy_Variables!J147+Multiple_Model!$B$22*Dummy_Variables!O147+Multiple_Model!$B$23*Dummy_Variables!P147+Multiple_Model!$B$24*Dummy_Variables!Q147+Multiple_Model!$B$25*Dummy_Variables!R147+Multiple_Model!$B$26*Dummy_Variables!S147+Multiple_Model!$B$27*Dummy_Variables!T147</f>
        <v>536082.66012406396</v>
      </c>
      <c r="G147" s="3">
        <f>E147-F147</f>
        <v>975.66987593600061</v>
      </c>
      <c r="H147" s="3">
        <f>ABS(G147)</f>
        <v>975.66987593600061</v>
      </c>
      <c r="I147" t="str">
        <f>IF(G147&gt;0,"Under-predicted","Over-predicted")</f>
        <v>Under-predicted</v>
      </c>
    </row>
    <row r="148" spans="1:9">
      <c r="A148" t="s">
        <v>58</v>
      </c>
      <c r="B148" s="2">
        <v>45717</v>
      </c>
      <c r="C148" t="s">
        <v>20</v>
      </c>
      <c r="D148" t="s">
        <v>16</v>
      </c>
      <c r="E148" s="3">
        <v>601568.87</v>
      </c>
      <c r="F148" s="3">
        <f>Multiple_Model!$B$13+Multiple_Model!$B$14*Dummy_Variables!E148+Multiple_Model!$B$15*Dummy_Variables!F148+Multiple_Model!$B$16*Dummy_Variables!G148+Multiple_Model!$B$17*Dummy_Variables!I148+Multiple_Model!$B$18*Dummy_Variables!L148+Multiple_Model!$B$19*Dummy_Variables!H148+Multiple_Model!$B$20*Dummy_Variables!K148+Multiple_Model!$B$21*Dummy_Variables!J148+Multiple_Model!$B$22*Dummy_Variables!O148+Multiple_Model!$B$23*Dummy_Variables!P148+Multiple_Model!$B$24*Dummy_Variables!Q148+Multiple_Model!$B$25*Dummy_Variables!R148+Multiple_Model!$B$26*Dummy_Variables!S148+Multiple_Model!$B$27*Dummy_Variables!T148</f>
        <v>587470.89699329063</v>
      </c>
      <c r="G148" s="3">
        <f>E148-F148</f>
        <v>14097.973006709362</v>
      </c>
      <c r="H148" s="3">
        <f>ABS(G148)</f>
        <v>14097.973006709362</v>
      </c>
      <c r="I148" t="str">
        <f>IF(G148&gt;0,"Under-predicted","Over-predicted")</f>
        <v>Under-predicted</v>
      </c>
    </row>
    <row r="149" spans="1:9">
      <c r="A149" t="s">
        <v>58</v>
      </c>
      <c r="B149" s="2">
        <v>45748</v>
      </c>
      <c r="C149" t="s">
        <v>20</v>
      </c>
      <c r="D149" t="s">
        <v>16</v>
      </c>
      <c r="E149" s="3">
        <v>570964.84</v>
      </c>
      <c r="F149" s="3">
        <f>Multiple_Model!$B$13+Multiple_Model!$B$14*Dummy_Variables!E149+Multiple_Model!$B$15*Dummy_Variables!F149+Multiple_Model!$B$16*Dummy_Variables!G149+Multiple_Model!$B$17*Dummy_Variables!I149+Multiple_Model!$B$18*Dummy_Variables!L149+Multiple_Model!$B$19*Dummy_Variables!H149+Multiple_Model!$B$20*Dummy_Variables!K149+Multiple_Model!$B$21*Dummy_Variables!J149+Multiple_Model!$B$22*Dummy_Variables!O149+Multiple_Model!$B$23*Dummy_Variables!P149+Multiple_Model!$B$24*Dummy_Variables!Q149+Multiple_Model!$B$25*Dummy_Variables!R149+Multiple_Model!$B$26*Dummy_Variables!S149+Multiple_Model!$B$27*Dummy_Variables!T149</f>
        <v>553159.61365212</v>
      </c>
      <c r="G149" s="3">
        <f>E149-F149</f>
        <v>17805.226347879972</v>
      </c>
      <c r="H149" s="3">
        <f>ABS(G149)</f>
        <v>17805.226347879972</v>
      </c>
      <c r="I149" t="str">
        <f>IF(G149&gt;0,"Under-predicted","Over-predicted")</f>
        <v>Under-predicted</v>
      </c>
    </row>
    <row r="150" spans="1:9">
      <c r="A150" t="s">
        <v>59</v>
      </c>
      <c r="B150" s="2">
        <v>45658</v>
      </c>
      <c r="C150" t="s">
        <v>24</v>
      </c>
      <c r="D150" t="s">
        <v>28</v>
      </c>
      <c r="E150" s="3">
        <v>614024.91</v>
      </c>
      <c r="F150" s="3">
        <f>Multiple_Model!$B$13+Multiple_Model!$B$14*Dummy_Variables!E150+Multiple_Model!$B$15*Dummy_Variables!F150+Multiple_Model!$B$16*Dummy_Variables!G150+Multiple_Model!$B$17*Dummy_Variables!I150+Multiple_Model!$B$18*Dummy_Variables!L150+Multiple_Model!$B$19*Dummy_Variables!H150+Multiple_Model!$B$20*Dummy_Variables!K150+Multiple_Model!$B$21*Dummy_Variables!J150+Multiple_Model!$B$22*Dummy_Variables!O150+Multiple_Model!$B$23*Dummy_Variables!P150+Multiple_Model!$B$24*Dummy_Variables!Q150+Multiple_Model!$B$25*Dummy_Variables!R150+Multiple_Model!$B$26*Dummy_Variables!S150+Multiple_Model!$B$27*Dummy_Variables!T150</f>
        <v>610639.19855177368</v>
      </c>
      <c r="G150" s="3">
        <f>E150-F150</f>
        <v>3385.7114482263569</v>
      </c>
      <c r="H150" s="3">
        <f>ABS(G150)</f>
        <v>3385.7114482263569</v>
      </c>
      <c r="I150" t="str">
        <f>IF(G150&gt;0,"Under-predicted","Over-predicted")</f>
        <v>Under-predicted</v>
      </c>
    </row>
    <row r="151" spans="1:9">
      <c r="A151" t="s">
        <v>59</v>
      </c>
      <c r="B151" s="2">
        <v>45689</v>
      </c>
      <c r="C151" t="s">
        <v>24</v>
      </c>
      <c r="D151" t="s">
        <v>28</v>
      </c>
      <c r="E151" s="3">
        <v>712868.35</v>
      </c>
      <c r="F151" s="3">
        <f>Multiple_Model!$B$13+Multiple_Model!$B$14*Dummy_Variables!E151+Multiple_Model!$B$15*Dummy_Variables!F151+Multiple_Model!$B$16*Dummy_Variables!G151+Multiple_Model!$B$17*Dummy_Variables!I151+Multiple_Model!$B$18*Dummy_Variables!L151+Multiple_Model!$B$19*Dummy_Variables!H151+Multiple_Model!$B$20*Dummy_Variables!K151+Multiple_Model!$B$21*Dummy_Variables!J151+Multiple_Model!$B$22*Dummy_Variables!O151+Multiple_Model!$B$23*Dummy_Variables!P151+Multiple_Model!$B$24*Dummy_Variables!Q151+Multiple_Model!$B$25*Dummy_Variables!R151+Multiple_Model!$B$26*Dummy_Variables!S151+Multiple_Model!$B$27*Dummy_Variables!T151</f>
        <v>706544.32321964216</v>
      </c>
      <c r="G151" s="3">
        <f>E151-F151</f>
        <v>6324.0267803578172</v>
      </c>
      <c r="H151" s="3">
        <f>ABS(G151)</f>
        <v>6324.0267803578172</v>
      </c>
      <c r="I151" t="str">
        <f>IF(G151&gt;0,"Under-predicted","Over-predicted")</f>
        <v>Under-predicted</v>
      </c>
    </row>
    <row r="152" spans="1:9">
      <c r="A152" t="s">
        <v>59</v>
      </c>
      <c r="B152" s="2">
        <v>45717</v>
      </c>
      <c r="C152" t="s">
        <v>24</v>
      </c>
      <c r="D152" t="s">
        <v>28</v>
      </c>
      <c r="E152" s="3">
        <v>696744.15</v>
      </c>
      <c r="F152" s="3">
        <f>Multiple_Model!$B$13+Multiple_Model!$B$14*Dummy_Variables!E152+Multiple_Model!$B$15*Dummy_Variables!F152+Multiple_Model!$B$16*Dummy_Variables!G152+Multiple_Model!$B$17*Dummy_Variables!I152+Multiple_Model!$B$18*Dummy_Variables!L152+Multiple_Model!$B$19*Dummy_Variables!H152+Multiple_Model!$B$20*Dummy_Variables!K152+Multiple_Model!$B$21*Dummy_Variables!J152+Multiple_Model!$B$22*Dummy_Variables!O152+Multiple_Model!$B$23*Dummy_Variables!P152+Multiple_Model!$B$24*Dummy_Variables!Q152+Multiple_Model!$B$25*Dummy_Variables!R152+Multiple_Model!$B$26*Dummy_Variables!S152+Multiple_Model!$B$27*Dummy_Variables!T152</f>
        <v>686560.13326618343</v>
      </c>
      <c r="G152" s="3">
        <f>E152-F152</f>
        <v>10184.016733816592</v>
      </c>
      <c r="H152" s="3">
        <f>ABS(G152)</f>
        <v>10184.016733816592</v>
      </c>
      <c r="I152" t="str">
        <f>IF(G152&gt;0,"Under-predicted","Over-predicted")</f>
        <v>Under-predicted</v>
      </c>
    </row>
    <row r="153" spans="1:9">
      <c r="A153" t="s">
        <v>59</v>
      </c>
      <c r="B153" s="2">
        <v>45748</v>
      </c>
      <c r="C153" t="s">
        <v>24</v>
      </c>
      <c r="D153" t="s">
        <v>28</v>
      </c>
      <c r="E153" s="3">
        <v>725847.99</v>
      </c>
      <c r="F153" s="3">
        <f>Multiple_Model!$B$13+Multiple_Model!$B$14*Dummy_Variables!E153+Multiple_Model!$B$15*Dummy_Variables!F153+Multiple_Model!$B$16*Dummy_Variables!G153+Multiple_Model!$B$17*Dummy_Variables!I153+Multiple_Model!$B$18*Dummy_Variables!L153+Multiple_Model!$B$19*Dummy_Variables!H153+Multiple_Model!$B$20*Dummy_Variables!K153+Multiple_Model!$B$21*Dummy_Variables!J153+Multiple_Model!$B$22*Dummy_Variables!O153+Multiple_Model!$B$23*Dummy_Variables!P153+Multiple_Model!$B$24*Dummy_Variables!Q153+Multiple_Model!$B$25*Dummy_Variables!R153+Multiple_Model!$B$26*Dummy_Variables!S153+Multiple_Model!$B$27*Dummy_Variables!T153</f>
        <v>716421.26279076957</v>
      </c>
      <c r="G153" s="3">
        <f>E153-F153</f>
        <v>9426.7272092304192</v>
      </c>
      <c r="H153" s="3">
        <f>ABS(G153)</f>
        <v>9426.7272092304192</v>
      </c>
      <c r="I153" t="str">
        <f>IF(G153&gt;0,"Under-predicted","Over-predicted")</f>
        <v>Under-predicted</v>
      </c>
    </row>
    <row r="154" spans="1:9">
      <c r="A154" t="s">
        <v>60</v>
      </c>
      <c r="B154" s="2">
        <v>45658</v>
      </c>
      <c r="C154" t="s">
        <v>15</v>
      </c>
      <c r="D154" t="s">
        <v>18</v>
      </c>
      <c r="E154" s="3">
        <v>785028.25</v>
      </c>
      <c r="F154" s="3">
        <f>Multiple_Model!$B$13+Multiple_Model!$B$14*Dummy_Variables!E154+Multiple_Model!$B$15*Dummy_Variables!F154+Multiple_Model!$B$16*Dummy_Variables!G154+Multiple_Model!$B$17*Dummy_Variables!I154+Multiple_Model!$B$18*Dummy_Variables!L154+Multiple_Model!$B$19*Dummy_Variables!H154+Multiple_Model!$B$20*Dummy_Variables!K154+Multiple_Model!$B$21*Dummy_Variables!J154+Multiple_Model!$B$22*Dummy_Variables!O154+Multiple_Model!$B$23*Dummy_Variables!P154+Multiple_Model!$B$24*Dummy_Variables!Q154+Multiple_Model!$B$25*Dummy_Variables!R154+Multiple_Model!$B$26*Dummy_Variables!S154+Multiple_Model!$B$27*Dummy_Variables!T154</f>
        <v>805086.59565312683</v>
      </c>
      <c r="G154" s="3">
        <f>E154-F154</f>
        <v>-20058.345653126831</v>
      </c>
      <c r="H154" s="3">
        <f>ABS(G154)</f>
        <v>20058.345653126831</v>
      </c>
      <c r="I154" t="str">
        <f>IF(G154&gt;0,"Under-predicted","Over-predicted")</f>
        <v>Over-predicted</v>
      </c>
    </row>
    <row r="155" spans="1:9">
      <c r="A155" t="s">
        <v>60</v>
      </c>
      <c r="B155" s="2">
        <v>45689</v>
      </c>
      <c r="C155" t="s">
        <v>15</v>
      </c>
      <c r="D155" t="s">
        <v>18</v>
      </c>
      <c r="E155" s="3">
        <v>698492.67</v>
      </c>
      <c r="F155" s="3">
        <f>Multiple_Model!$B$13+Multiple_Model!$B$14*Dummy_Variables!E155+Multiple_Model!$B$15*Dummy_Variables!F155+Multiple_Model!$B$16*Dummy_Variables!G155+Multiple_Model!$B$17*Dummy_Variables!I155+Multiple_Model!$B$18*Dummy_Variables!L155+Multiple_Model!$B$19*Dummy_Variables!H155+Multiple_Model!$B$20*Dummy_Variables!K155+Multiple_Model!$B$21*Dummy_Variables!J155+Multiple_Model!$B$22*Dummy_Variables!O155+Multiple_Model!$B$23*Dummy_Variables!P155+Multiple_Model!$B$24*Dummy_Variables!Q155+Multiple_Model!$B$25*Dummy_Variables!R155+Multiple_Model!$B$26*Dummy_Variables!S155+Multiple_Model!$B$27*Dummy_Variables!T155</f>
        <v>691925.58592049731</v>
      </c>
      <c r="G155" s="3">
        <f>E155-F155</f>
        <v>6567.0840795027325</v>
      </c>
      <c r="H155" s="3">
        <f>ABS(G155)</f>
        <v>6567.0840795027325</v>
      </c>
      <c r="I155" t="str">
        <f>IF(G155&gt;0,"Under-predicted","Over-predicted")</f>
        <v>Under-predicted</v>
      </c>
    </row>
    <row r="156" spans="1:9">
      <c r="A156" t="s">
        <v>60</v>
      </c>
      <c r="B156" s="2">
        <v>45717</v>
      </c>
      <c r="C156" t="s">
        <v>15</v>
      </c>
      <c r="D156" t="s">
        <v>18</v>
      </c>
      <c r="E156" s="3">
        <v>685830.24</v>
      </c>
      <c r="F156" s="3">
        <f>Multiple_Model!$B$13+Multiple_Model!$B$14*Dummy_Variables!E156+Multiple_Model!$B$15*Dummy_Variables!F156+Multiple_Model!$B$16*Dummy_Variables!G156+Multiple_Model!$B$17*Dummy_Variables!I156+Multiple_Model!$B$18*Dummy_Variables!L156+Multiple_Model!$B$19*Dummy_Variables!H156+Multiple_Model!$B$20*Dummy_Variables!K156+Multiple_Model!$B$21*Dummy_Variables!J156+Multiple_Model!$B$22*Dummy_Variables!O156+Multiple_Model!$B$23*Dummy_Variables!P156+Multiple_Model!$B$24*Dummy_Variables!Q156+Multiple_Model!$B$25*Dummy_Variables!R156+Multiple_Model!$B$26*Dummy_Variables!S156+Multiple_Model!$B$27*Dummy_Variables!T156</f>
        <v>718502.95559918182</v>
      </c>
      <c r="G156" s="3">
        <f>E156-F156</f>
        <v>-32672.715599181829</v>
      </c>
      <c r="H156" s="3">
        <f>ABS(G156)</f>
        <v>32672.715599181829</v>
      </c>
      <c r="I156" t="str">
        <f>IF(G156&gt;0,"Under-predicted","Over-predicted")</f>
        <v>Over-predicted</v>
      </c>
    </row>
    <row r="157" spans="1:9">
      <c r="A157" t="s">
        <v>60</v>
      </c>
      <c r="B157" s="2">
        <v>45748</v>
      </c>
      <c r="C157" t="s">
        <v>15</v>
      </c>
      <c r="D157" t="s">
        <v>18</v>
      </c>
      <c r="E157" s="3">
        <v>702318.94</v>
      </c>
      <c r="F157" s="3">
        <f>Multiple_Model!$B$13+Multiple_Model!$B$14*Dummy_Variables!E157+Multiple_Model!$B$15*Dummy_Variables!F157+Multiple_Model!$B$16*Dummy_Variables!G157+Multiple_Model!$B$17*Dummy_Variables!I157+Multiple_Model!$B$18*Dummy_Variables!L157+Multiple_Model!$B$19*Dummy_Variables!H157+Multiple_Model!$B$20*Dummy_Variables!K157+Multiple_Model!$B$21*Dummy_Variables!J157+Multiple_Model!$B$22*Dummy_Variables!O157+Multiple_Model!$B$23*Dummy_Variables!P157+Multiple_Model!$B$24*Dummy_Variables!Q157+Multiple_Model!$B$25*Dummy_Variables!R157+Multiple_Model!$B$26*Dummy_Variables!S157+Multiple_Model!$B$27*Dummy_Variables!T157</f>
        <v>712183.4762122056</v>
      </c>
      <c r="G157" s="3">
        <f>E157-F157</f>
        <v>-9864.536212205654</v>
      </c>
      <c r="H157" s="3">
        <f>ABS(G157)</f>
        <v>9864.536212205654</v>
      </c>
      <c r="I157" t="str">
        <f>IF(G157&gt;0,"Under-predicted","Over-predicted")</f>
        <v>Over-predicted</v>
      </c>
    </row>
    <row r="158" spans="1:9">
      <c r="A158" t="s">
        <v>61</v>
      </c>
      <c r="B158" s="2">
        <v>45658</v>
      </c>
      <c r="C158" t="s">
        <v>20</v>
      </c>
      <c r="D158" t="s">
        <v>28</v>
      </c>
      <c r="E158" s="3">
        <v>700078.32</v>
      </c>
      <c r="F158" s="3">
        <f>Multiple_Model!$B$13+Multiple_Model!$B$14*Dummy_Variables!E158+Multiple_Model!$B$15*Dummy_Variables!F158+Multiple_Model!$B$16*Dummy_Variables!G158+Multiple_Model!$B$17*Dummy_Variables!I158+Multiple_Model!$B$18*Dummy_Variables!L158+Multiple_Model!$B$19*Dummy_Variables!H158+Multiple_Model!$B$20*Dummy_Variables!K158+Multiple_Model!$B$21*Dummy_Variables!J158+Multiple_Model!$B$22*Dummy_Variables!O158+Multiple_Model!$B$23*Dummy_Variables!P158+Multiple_Model!$B$24*Dummy_Variables!Q158+Multiple_Model!$B$25*Dummy_Variables!R158+Multiple_Model!$B$26*Dummy_Variables!S158+Multiple_Model!$B$27*Dummy_Variables!T158</f>
        <v>728542.49255438906</v>
      </c>
      <c r="G158" s="3">
        <f>E158-F158</f>
        <v>-28464.172554389108</v>
      </c>
      <c r="H158" s="3">
        <f>ABS(G158)</f>
        <v>28464.172554389108</v>
      </c>
      <c r="I158" t="str">
        <f>IF(G158&gt;0,"Under-predicted","Over-predicted")</f>
        <v>Over-predicted</v>
      </c>
    </row>
    <row r="159" spans="1:9">
      <c r="A159" t="s">
        <v>61</v>
      </c>
      <c r="B159" s="2">
        <v>45689</v>
      </c>
      <c r="C159" t="s">
        <v>20</v>
      </c>
      <c r="D159" t="s">
        <v>28</v>
      </c>
      <c r="E159" s="3">
        <v>602002.31999999995</v>
      </c>
      <c r="F159" s="3">
        <f>Multiple_Model!$B$13+Multiple_Model!$B$14*Dummy_Variables!E159+Multiple_Model!$B$15*Dummy_Variables!F159+Multiple_Model!$B$16*Dummy_Variables!G159+Multiple_Model!$B$17*Dummy_Variables!I159+Multiple_Model!$B$18*Dummy_Variables!L159+Multiple_Model!$B$19*Dummy_Variables!H159+Multiple_Model!$B$20*Dummy_Variables!K159+Multiple_Model!$B$21*Dummy_Variables!J159+Multiple_Model!$B$22*Dummy_Variables!O159+Multiple_Model!$B$23*Dummy_Variables!P159+Multiple_Model!$B$24*Dummy_Variables!Q159+Multiple_Model!$B$25*Dummy_Variables!R159+Multiple_Model!$B$26*Dummy_Variables!S159+Multiple_Model!$B$27*Dummy_Variables!T159</f>
        <v>607119.43808879727</v>
      </c>
      <c r="G159" s="3">
        <f>E159-F159</f>
        <v>-5117.1180887973169</v>
      </c>
      <c r="H159" s="3">
        <f>ABS(G159)</f>
        <v>5117.1180887973169</v>
      </c>
      <c r="I159" t="str">
        <f>IF(G159&gt;0,"Under-predicted","Over-predicted")</f>
        <v>Over-predicted</v>
      </c>
    </row>
    <row r="160" spans="1:9">
      <c r="A160" t="s">
        <v>61</v>
      </c>
      <c r="B160" s="2">
        <v>45717</v>
      </c>
      <c r="C160" t="s">
        <v>20</v>
      </c>
      <c r="D160" t="s">
        <v>28</v>
      </c>
      <c r="E160" s="3">
        <v>724216.07</v>
      </c>
      <c r="F160" s="3">
        <f>Multiple_Model!$B$13+Multiple_Model!$B$14*Dummy_Variables!E160+Multiple_Model!$B$15*Dummy_Variables!F160+Multiple_Model!$B$16*Dummy_Variables!G160+Multiple_Model!$B$17*Dummy_Variables!I160+Multiple_Model!$B$18*Dummy_Variables!L160+Multiple_Model!$B$19*Dummy_Variables!H160+Multiple_Model!$B$20*Dummy_Variables!K160+Multiple_Model!$B$21*Dummy_Variables!J160+Multiple_Model!$B$22*Dummy_Variables!O160+Multiple_Model!$B$23*Dummy_Variables!P160+Multiple_Model!$B$24*Dummy_Variables!Q160+Multiple_Model!$B$25*Dummy_Variables!R160+Multiple_Model!$B$26*Dummy_Variables!S160+Multiple_Model!$B$27*Dummy_Variables!T160</f>
        <v>670731.24472926313</v>
      </c>
      <c r="G160" s="3">
        <f>E160-F160</f>
        <v>53484.825270736823</v>
      </c>
      <c r="H160" s="3">
        <f>ABS(G160)</f>
        <v>53484.825270736823</v>
      </c>
      <c r="I160" t="str">
        <f>IF(G160&gt;0,"Under-predicted","Over-predicted")</f>
        <v>Under-predicted</v>
      </c>
    </row>
    <row r="161" spans="1:9">
      <c r="A161" t="s">
        <v>61</v>
      </c>
      <c r="B161" s="2">
        <v>45748</v>
      </c>
      <c r="C161" t="s">
        <v>20</v>
      </c>
      <c r="D161" t="s">
        <v>28</v>
      </c>
      <c r="E161" s="3">
        <v>620973.03</v>
      </c>
      <c r="F161" s="3">
        <f>Multiple_Model!$B$13+Multiple_Model!$B$14*Dummy_Variables!E161+Multiple_Model!$B$15*Dummy_Variables!F161+Multiple_Model!$B$16*Dummy_Variables!G161+Multiple_Model!$B$17*Dummy_Variables!I161+Multiple_Model!$B$18*Dummy_Variables!L161+Multiple_Model!$B$19*Dummy_Variables!H161+Multiple_Model!$B$20*Dummy_Variables!K161+Multiple_Model!$B$21*Dummy_Variables!J161+Multiple_Model!$B$22*Dummy_Variables!O161+Multiple_Model!$B$23*Dummy_Variables!P161+Multiple_Model!$B$24*Dummy_Variables!Q161+Multiple_Model!$B$25*Dummy_Variables!R161+Multiple_Model!$B$26*Dummy_Variables!S161+Multiple_Model!$B$27*Dummy_Variables!T161</f>
        <v>560542.16436684434</v>
      </c>
      <c r="G161" s="3">
        <f>E161-F161</f>
        <v>60430.865633155685</v>
      </c>
      <c r="H161" s="3">
        <f>ABS(G161)</f>
        <v>60430.865633155685</v>
      </c>
      <c r="I161" t="str">
        <f>IF(G161&gt;0,"Under-predicted","Over-predicted")</f>
        <v>Under-predicted</v>
      </c>
    </row>
    <row r="162" spans="1:9">
      <c r="A162" t="s">
        <v>62</v>
      </c>
      <c r="B162" s="2">
        <v>45658</v>
      </c>
      <c r="C162" t="s">
        <v>24</v>
      </c>
      <c r="D162" t="s">
        <v>18</v>
      </c>
      <c r="E162" s="3">
        <v>650480.06000000006</v>
      </c>
      <c r="F162" s="3">
        <f>Multiple_Model!$B$13+Multiple_Model!$B$14*Dummy_Variables!E162+Multiple_Model!$B$15*Dummy_Variables!F162+Multiple_Model!$B$16*Dummy_Variables!G162+Multiple_Model!$B$17*Dummy_Variables!I162+Multiple_Model!$B$18*Dummy_Variables!L162+Multiple_Model!$B$19*Dummy_Variables!H162+Multiple_Model!$B$20*Dummy_Variables!K162+Multiple_Model!$B$21*Dummy_Variables!J162+Multiple_Model!$B$22*Dummy_Variables!O162+Multiple_Model!$B$23*Dummy_Variables!P162+Multiple_Model!$B$24*Dummy_Variables!Q162+Multiple_Model!$B$25*Dummy_Variables!R162+Multiple_Model!$B$26*Dummy_Variables!S162+Multiple_Model!$B$27*Dummy_Variables!T162</f>
        <v>697803.26017699391</v>
      </c>
      <c r="G162" s="3">
        <f>E162-F162</f>
        <v>-47323.200176993851</v>
      </c>
      <c r="H162" s="3">
        <f>ABS(G162)</f>
        <v>47323.200176993851</v>
      </c>
      <c r="I162" t="str">
        <f>IF(G162&gt;0,"Under-predicted","Over-predicted")</f>
        <v>Over-predicted</v>
      </c>
    </row>
    <row r="163" spans="1:9">
      <c r="A163" t="s">
        <v>62</v>
      </c>
      <c r="B163" s="2">
        <v>45689</v>
      </c>
      <c r="C163" t="s">
        <v>24</v>
      </c>
      <c r="D163" t="s">
        <v>18</v>
      </c>
      <c r="E163" s="3">
        <v>778298.88</v>
      </c>
      <c r="F163" s="3">
        <f>Multiple_Model!$B$13+Multiple_Model!$B$14*Dummy_Variables!E163+Multiple_Model!$B$15*Dummy_Variables!F163+Multiple_Model!$B$16*Dummy_Variables!G163+Multiple_Model!$B$17*Dummy_Variables!I163+Multiple_Model!$B$18*Dummy_Variables!L163+Multiple_Model!$B$19*Dummy_Variables!H163+Multiple_Model!$B$20*Dummy_Variables!K163+Multiple_Model!$B$21*Dummy_Variables!J163+Multiple_Model!$B$22*Dummy_Variables!O163+Multiple_Model!$B$23*Dummy_Variables!P163+Multiple_Model!$B$24*Dummy_Variables!Q163+Multiple_Model!$B$25*Dummy_Variables!R163+Multiple_Model!$B$26*Dummy_Variables!S163+Multiple_Model!$B$27*Dummy_Variables!T163</f>
        <v>717651.53285295155</v>
      </c>
      <c r="G163" s="3">
        <f>E163-F163</f>
        <v>60647.347147048451</v>
      </c>
      <c r="H163" s="3">
        <f>ABS(G163)</f>
        <v>60647.347147048451</v>
      </c>
      <c r="I163" t="str">
        <f>IF(G163&gt;0,"Under-predicted","Over-predicted")</f>
        <v>Under-predicted</v>
      </c>
    </row>
    <row r="164" spans="1:9">
      <c r="A164" t="s">
        <v>62</v>
      </c>
      <c r="B164" s="2">
        <v>45717</v>
      </c>
      <c r="C164" t="s">
        <v>24</v>
      </c>
      <c r="D164" t="s">
        <v>18</v>
      </c>
      <c r="E164" s="3">
        <v>677096.71</v>
      </c>
      <c r="F164" s="3">
        <f>Multiple_Model!$B$13+Multiple_Model!$B$14*Dummy_Variables!E164+Multiple_Model!$B$15*Dummy_Variables!F164+Multiple_Model!$B$16*Dummy_Variables!G164+Multiple_Model!$B$17*Dummy_Variables!I164+Multiple_Model!$B$18*Dummy_Variables!L164+Multiple_Model!$B$19*Dummy_Variables!H164+Multiple_Model!$B$20*Dummy_Variables!K164+Multiple_Model!$B$21*Dummy_Variables!J164+Multiple_Model!$B$22*Dummy_Variables!O164+Multiple_Model!$B$23*Dummy_Variables!P164+Multiple_Model!$B$24*Dummy_Variables!Q164+Multiple_Model!$B$25*Dummy_Variables!R164+Multiple_Model!$B$26*Dummy_Variables!S164+Multiple_Model!$B$27*Dummy_Variables!T164</f>
        <v>686770.34465521644</v>
      </c>
      <c r="G164" s="3">
        <f>E164-F164</f>
        <v>-9673.6346552164759</v>
      </c>
      <c r="H164" s="3">
        <f>ABS(G164)</f>
        <v>9673.6346552164759</v>
      </c>
      <c r="I164" t="str">
        <f>IF(G164&gt;0,"Under-predicted","Over-predicted")</f>
        <v>Over-predicted</v>
      </c>
    </row>
    <row r="165" spans="1:9">
      <c r="A165" t="s">
        <v>62</v>
      </c>
      <c r="B165" s="2">
        <v>45748</v>
      </c>
      <c r="C165" t="s">
        <v>24</v>
      </c>
      <c r="D165" t="s">
        <v>18</v>
      </c>
      <c r="E165" s="3">
        <v>692008.64</v>
      </c>
      <c r="F165" s="3">
        <f>Multiple_Model!$B$13+Multiple_Model!$B$14*Dummy_Variables!E165+Multiple_Model!$B$15*Dummy_Variables!F165+Multiple_Model!$B$16*Dummy_Variables!G165+Multiple_Model!$B$17*Dummy_Variables!I165+Multiple_Model!$B$18*Dummy_Variables!L165+Multiple_Model!$B$19*Dummy_Variables!H165+Multiple_Model!$B$20*Dummy_Variables!K165+Multiple_Model!$B$21*Dummy_Variables!J165+Multiple_Model!$B$22*Dummy_Variables!O165+Multiple_Model!$B$23*Dummy_Variables!P165+Multiple_Model!$B$24*Dummy_Variables!Q165+Multiple_Model!$B$25*Dummy_Variables!R165+Multiple_Model!$B$26*Dummy_Variables!S165+Multiple_Model!$B$27*Dummy_Variables!T165</f>
        <v>732097.98087481409</v>
      </c>
      <c r="G165" s="3">
        <f>E165-F165</f>
        <v>-40089.340874814079</v>
      </c>
      <c r="H165" s="3">
        <f>ABS(G165)</f>
        <v>40089.340874814079</v>
      </c>
      <c r="I165" t="str">
        <f>IF(G165&gt;0,"Under-predicted","Over-predicted")</f>
        <v>Over-predicted</v>
      </c>
    </row>
    <row r="166" spans="1:9">
      <c r="A166" t="s">
        <v>63</v>
      </c>
      <c r="B166" s="2">
        <v>45658</v>
      </c>
      <c r="C166" t="s">
        <v>20</v>
      </c>
      <c r="D166" t="s">
        <v>28</v>
      </c>
      <c r="E166" s="3">
        <v>825797.91</v>
      </c>
      <c r="F166" s="3">
        <f>Multiple_Model!$B$13+Multiple_Model!$B$14*Dummy_Variables!E166+Multiple_Model!$B$15*Dummy_Variables!F166+Multiple_Model!$B$16*Dummy_Variables!G166+Multiple_Model!$B$17*Dummy_Variables!I166+Multiple_Model!$B$18*Dummy_Variables!L166+Multiple_Model!$B$19*Dummy_Variables!H166+Multiple_Model!$B$20*Dummy_Variables!K166+Multiple_Model!$B$21*Dummy_Variables!J166+Multiple_Model!$B$22*Dummy_Variables!O166+Multiple_Model!$B$23*Dummy_Variables!P166+Multiple_Model!$B$24*Dummy_Variables!Q166+Multiple_Model!$B$25*Dummy_Variables!R166+Multiple_Model!$B$26*Dummy_Variables!S166+Multiple_Model!$B$27*Dummy_Variables!T166</f>
        <v>780981.46721312241</v>
      </c>
      <c r="G166" s="3">
        <f>E166-F166</f>
        <v>44816.442786877626</v>
      </c>
      <c r="H166" s="3">
        <f>ABS(G166)</f>
        <v>44816.442786877626</v>
      </c>
      <c r="I166" t="str">
        <f>IF(G166&gt;0,"Under-predicted","Over-predicted")</f>
        <v>Under-predicted</v>
      </c>
    </row>
    <row r="167" spans="1:9">
      <c r="A167" t="s">
        <v>63</v>
      </c>
      <c r="B167" s="2">
        <v>45689</v>
      </c>
      <c r="C167" t="s">
        <v>20</v>
      </c>
      <c r="D167" t="s">
        <v>28</v>
      </c>
      <c r="E167" s="3">
        <v>706285.52</v>
      </c>
      <c r="F167" s="3">
        <f>Multiple_Model!$B$13+Multiple_Model!$B$14*Dummy_Variables!E167+Multiple_Model!$B$15*Dummy_Variables!F167+Multiple_Model!$B$16*Dummy_Variables!G167+Multiple_Model!$B$17*Dummy_Variables!I167+Multiple_Model!$B$18*Dummy_Variables!L167+Multiple_Model!$B$19*Dummy_Variables!H167+Multiple_Model!$B$20*Dummy_Variables!K167+Multiple_Model!$B$21*Dummy_Variables!J167+Multiple_Model!$B$22*Dummy_Variables!O167+Multiple_Model!$B$23*Dummy_Variables!P167+Multiple_Model!$B$24*Dummy_Variables!Q167+Multiple_Model!$B$25*Dummy_Variables!R167+Multiple_Model!$B$26*Dummy_Variables!S167+Multiple_Model!$B$27*Dummy_Variables!T167</f>
        <v>723264.46165854065</v>
      </c>
      <c r="G167" s="3">
        <f>E167-F167</f>
        <v>-16978.941658540629</v>
      </c>
      <c r="H167" s="3">
        <f>ABS(G167)</f>
        <v>16978.941658540629</v>
      </c>
      <c r="I167" t="str">
        <f>IF(G167&gt;0,"Under-predicted","Over-predicted")</f>
        <v>Over-predicted</v>
      </c>
    </row>
    <row r="168" spans="1:9">
      <c r="A168" t="s">
        <v>63</v>
      </c>
      <c r="B168" s="2">
        <v>45717</v>
      </c>
      <c r="C168" t="s">
        <v>20</v>
      </c>
      <c r="D168" t="s">
        <v>28</v>
      </c>
      <c r="E168" s="3">
        <v>665534.69999999995</v>
      </c>
      <c r="F168" s="3">
        <f>Multiple_Model!$B$13+Multiple_Model!$B$14*Dummy_Variables!E168+Multiple_Model!$B$15*Dummy_Variables!F168+Multiple_Model!$B$16*Dummy_Variables!G168+Multiple_Model!$B$17*Dummy_Variables!I168+Multiple_Model!$B$18*Dummy_Variables!L168+Multiple_Model!$B$19*Dummy_Variables!H168+Multiple_Model!$B$20*Dummy_Variables!K168+Multiple_Model!$B$21*Dummy_Variables!J168+Multiple_Model!$B$22*Dummy_Variables!O168+Multiple_Model!$B$23*Dummy_Variables!P168+Multiple_Model!$B$24*Dummy_Variables!Q168+Multiple_Model!$B$25*Dummy_Variables!R168+Multiple_Model!$B$26*Dummy_Variables!S168+Multiple_Model!$B$27*Dummy_Variables!T168</f>
        <v>677733.49734908901</v>
      </c>
      <c r="G168" s="3">
        <f>E168-F168</f>
        <v>-12198.797349089058</v>
      </c>
      <c r="H168" s="3">
        <f>ABS(G168)</f>
        <v>12198.797349089058</v>
      </c>
      <c r="I168" t="str">
        <f>IF(G168&gt;0,"Under-predicted","Over-predicted")</f>
        <v>Over-predicted</v>
      </c>
    </row>
    <row r="169" spans="1:9">
      <c r="A169" t="s">
        <v>63</v>
      </c>
      <c r="B169" s="2">
        <v>45748</v>
      </c>
      <c r="C169" t="s">
        <v>20</v>
      </c>
      <c r="D169" t="s">
        <v>28</v>
      </c>
      <c r="E169" s="3">
        <v>820729.29</v>
      </c>
      <c r="F169" s="3">
        <f>Multiple_Model!$B$13+Multiple_Model!$B$14*Dummy_Variables!E169+Multiple_Model!$B$15*Dummy_Variables!F169+Multiple_Model!$B$16*Dummy_Variables!G169+Multiple_Model!$B$17*Dummy_Variables!I169+Multiple_Model!$B$18*Dummy_Variables!L169+Multiple_Model!$B$19*Dummy_Variables!H169+Multiple_Model!$B$20*Dummy_Variables!K169+Multiple_Model!$B$21*Dummy_Variables!J169+Multiple_Model!$B$22*Dummy_Variables!O169+Multiple_Model!$B$23*Dummy_Variables!P169+Multiple_Model!$B$24*Dummy_Variables!Q169+Multiple_Model!$B$25*Dummy_Variables!R169+Multiple_Model!$B$26*Dummy_Variables!S169+Multiple_Model!$B$27*Dummy_Variables!T169</f>
        <v>810267.54171971721</v>
      </c>
      <c r="G169" s="3">
        <f>E169-F169</f>
        <v>10461.748280282831</v>
      </c>
      <c r="H169" s="3">
        <f>ABS(G169)</f>
        <v>10461.748280282831</v>
      </c>
      <c r="I169" t="str">
        <f>IF(G169&gt;0,"Under-predicted","Over-predicted")</f>
        <v>Under-predicted</v>
      </c>
    </row>
    <row r="170" spans="1:9">
      <c r="A170" t="s">
        <v>64</v>
      </c>
      <c r="B170" s="2">
        <v>45658</v>
      </c>
      <c r="C170" t="s">
        <v>15</v>
      </c>
      <c r="D170" t="s">
        <v>16</v>
      </c>
      <c r="E170" s="3">
        <v>739831.73</v>
      </c>
      <c r="F170" s="3">
        <f>Multiple_Model!$B$13+Multiple_Model!$B$14*Dummy_Variables!E170+Multiple_Model!$B$15*Dummy_Variables!F170+Multiple_Model!$B$16*Dummy_Variables!G170+Multiple_Model!$B$17*Dummy_Variables!I170+Multiple_Model!$B$18*Dummy_Variables!L170+Multiple_Model!$B$19*Dummy_Variables!H170+Multiple_Model!$B$20*Dummy_Variables!K170+Multiple_Model!$B$21*Dummy_Variables!J170+Multiple_Model!$B$22*Dummy_Variables!O170+Multiple_Model!$B$23*Dummy_Variables!P170+Multiple_Model!$B$24*Dummy_Variables!Q170+Multiple_Model!$B$25*Dummy_Variables!R170+Multiple_Model!$B$26*Dummy_Variables!S170+Multiple_Model!$B$27*Dummy_Variables!T170</f>
        <v>739928.24312830286</v>
      </c>
      <c r="G170" s="3">
        <f>E170-F170</f>
        <v>-96.513128302874975</v>
      </c>
      <c r="H170" s="3">
        <f>ABS(G170)</f>
        <v>96.513128302874975</v>
      </c>
      <c r="I170" t="str">
        <f>IF(G170&gt;0,"Under-predicted","Over-predicted")</f>
        <v>Over-predicted</v>
      </c>
    </row>
    <row r="171" spans="1:9">
      <c r="A171" t="s">
        <v>64</v>
      </c>
      <c r="B171" s="2">
        <v>45689</v>
      </c>
      <c r="C171" t="s">
        <v>15</v>
      </c>
      <c r="D171" t="s">
        <v>16</v>
      </c>
      <c r="E171" s="3">
        <v>593637.14</v>
      </c>
      <c r="F171" s="3">
        <f>Multiple_Model!$B$13+Multiple_Model!$B$14*Dummy_Variables!E171+Multiple_Model!$B$15*Dummy_Variables!F171+Multiple_Model!$B$16*Dummy_Variables!G171+Multiple_Model!$B$17*Dummy_Variables!I171+Multiple_Model!$B$18*Dummy_Variables!L171+Multiple_Model!$B$19*Dummy_Variables!H171+Multiple_Model!$B$20*Dummy_Variables!K171+Multiple_Model!$B$21*Dummy_Variables!J171+Multiple_Model!$B$22*Dummy_Variables!O171+Multiple_Model!$B$23*Dummy_Variables!P171+Multiple_Model!$B$24*Dummy_Variables!Q171+Multiple_Model!$B$25*Dummy_Variables!R171+Multiple_Model!$B$26*Dummy_Variables!S171+Multiple_Model!$B$27*Dummy_Variables!T171</f>
        <v>645107.92654179619</v>
      </c>
      <c r="G171" s="3">
        <f>E171-F171</f>
        <v>-51470.786541796173</v>
      </c>
      <c r="H171" s="3">
        <f>ABS(G171)</f>
        <v>51470.786541796173</v>
      </c>
      <c r="I171" t="str">
        <f>IF(G171&gt;0,"Under-predicted","Over-predicted")</f>
        <v>Over-predicted</v>
      </c>
    </row>
    <row r="172" spans="1:9">
      <c r="A172" t="s">
        <v>64</v>
      </c>
      <c r="B172" s="2">
        <v>45717</v>
      </c>
      <c r="C172" t="s">
        <v>15</v>
      </c>
      <c r="D172" t="s">
        <v>16</v>
      </c>
      <c r="E172" s="3">
        <v>769702.76</v>
      </c>
      <c r="F172" s="3">
        <f>Multiple_Model!$B$13+Multiple_Model!$B$14*Dummy_Variables!E172+Multiple_Model!$B$15*Dummy_Variables!F172+Multiple_Model!$B$16*Dummy_Variables!G172+Multiple_Model!$B$17*Dummy_Variables!I172+Multiple_Model!$B$18*Dummy_Variables!L172+Multiple_Model!$B$19*Dummy_Variables!H172+Multiple_Model!$B$20*Dummy_Variables!K172+Multiple_Model!$B$21*Dummy_Variables!J172+Multiple_Model!$B$22*Dummy_Variables!O172+Multiple_Model!$B$23*Dummy_Variables!P172+Multiple_Model!$B$24*Dummy_Variables!Q172+Multiple_Model!$B$25*Dummy_Variables!R172+Multiple_Model!$B$26*Dummy_Variables!S172+Multiple_Model!$B$27*Dummy_Variables!T172</f>
        <v>709040.57532260602</v>
      </c>
      <c r="G172" s="3">
        <f>E172-F172</f>
        <v>60662.184677393991</v>
      </c>
      <c r="H172" s="3">
        <f>ABS(G172)</f>
        <v>60662.184677393991</v>
      </c>
      <c r="I172" t="str">
        <f>IF(G172&gt;0,"Under-predicted","Over-predicted")</f>
        <v>Under-predicted</v>
      </c>
    </row>
    <row r="173" spans="1:9">
      <c r="A173" t="s">
        <v>64</v>
      </c>
      <c r="B173" s="2">
        <v>45748</v>
      </c>
      <c r="C173" t="s">
        <v>15</v>
      </c>
      <c r="D173" t="s">
        <v>16</v>
      </c>
      <c r="E173" s="3">
        <v>679731.57</v>
      </c>
      <c r="F173" s="3">
        <f>Multiple_Model!$B$13+Multiple_Model!$B$14*Dummy_Variables!E173+Multiple_Model!$B$15*Dummy_Variables!F173+Multiple_Model!$B$16*Dummy_Variables!G173+Multiple_Model!$B$17*Dummy_Variables!I173+Multiple_Model!$B$18*Dummy_Variables!L173+Multiple_Model!$B$19*Dummy_Variables!H173+Multiple_Model!$B$20*Dummy_Variables!K173+Multiple_Model!$B$21*Dummy_Variables!J173+Multiple_Model!$B$22*Dummy_Variables!O173+Multiple_Model!$B$23*Dummy_Variables!P173+Multiple_Model!$B$24*Dummy_Variables!Q173+Multiple_Model!$B$25*Dummy_Variables!R173+Multiple_Model!$B$26*Dummy_Variables!S173+Multiple_Model!$B$27*Dummy_Variables!T173</f>
        <v>683064.33967612172</v>
      </c>
      <c r="G173" s="3">
        <f>E173-F173</f>
        <v>-3332.7696761217667</v>
      </c>
      <c r="H173" s="3">
        <f>ABS(G173)</f>
        <v>3332.7696761217667</v>
      </c>
      <c r="I173" t="str">
        <f>IF(G173&gt;0,"Under-predicted","Over-predicted")</f>
        <v>Over-predicted</v>
      </c>
    </row>
    <row r="174" spans="1:9">
      <c r="A174" t="s">
        <v>65</v>
      </c>
      <c r="B174" s="2">
        <v>45658</v>
      </c>
      <c r="C174" t="s">
        <v>15</v>
      </c>
      <c r="D174" t="s">
        <v>16</v>
      </c>
      <c r="E174" s="3">
        <v>780344.18</v>
      </c>
      <c r="F174" s="3">
        <f>Multiple_Model!$B$13+Multiple_Model!$B$14*Dummy_Variables!E174+Multiple_Model!$B$15*Dummy_Variables!F174+Multiple_Model!$B$16*Dummy_Variables!G174+Multiple_Model!$B$17*Dummy_Variables!I174+Multiple_Model!$B$18*Dummy_Variables!L174+Multiple_Model!$B$19*Dummy_Variables!H174+Multiple_Model!$B$20*Dummy_Variables!K174+Multiple_Model!$B$21*Dummy_Variables!J174+Multiple_Model!$B$22*Dummy_Variables!O174+Multiple_Model!$B$23*Dummy_Variables!P174+Multiple_Model!$B$24*Dummy_Variables!Q174+Multiple_Model!$B$25*Dummy_Variables!R174+Multiple_Model!$B$26*Dummy_Variables!S174+Multiple_Model!$B$27*Dummy_Variables!T174</f>
        <v>731442.43807845807</v>
      </c>
      <c r="G174" s="3">
        <f>E174-F174</f>
        <v>48901.74192154198</v>
      </c>
      <c r="H174" s="3">
        <f>ABS(G174)</f>
        <v>48901.74192154198</v>
      </c>
      <c r="I174" t="str">
        <f>IF(G174&gt;0,"Under-predicted","Over-predicted")</f>
        <v>Under-predicted</v>
      </c>
    </row>
    <row r="175" spans="1:9">
      <c r="A175" t="s">
        <v>65</v>
      </c>
      <c r="B175" s="2">
        <v>45689</v>
      </c>
      <c r="C175" t="s">
        <v>15</v>
      </c>
      <c r="D175" t="s">
        <v>16</v>
      </c>
      <c r="E175" s="3">
        <v>721364.11</v>
      </c>
      <c r="F175" s="3">
        <f>Multiple_Model!$B$13+Multiple_Model!$B$14*Dummy_Variables!E175+Multiple_Model!$B$15*Dummy_Variables!F175+Multiple_Model!$B$16*Dummy_Variables!G175+Multiple_Model!$B$17*Dummy_Variables!I175+Multiple_Model!$B$18*Dummy_Variables!L175+Multiple_Model!$B$19*Dummy_Variables!H175+Multiple_Model!$B$20*Dummy_Variables!K175+Multiple_Model!$B$21*Dummy_Variables!J175+Multiple_Model!$B$22*Dummy_Variables!O175+Multiple_Model!$B$23*Dummy_Variables!P175+Multiple_Model!$B$24*Dummy_Variables!Q175+Multiple_Model!$B$25*Dummy_Variables!R175+Multiple_Model!$B$26*Dummy_Variables!S175+Multiple_Model!$B$27*Dummy_Variables!T175</f>
        <v>730330.60777374229</v>
      </c>
      <c r="G175" s="3">
        <f>E175-F175</f>
        <v>-8966.4977737423033</v>
      </c>
      <c r="H175" s="3">
        <f>ABS(G175)</f>
        <v>8966.4977737423033</v>
      </c>
      <c r="I175" t="str">
        <f>IF(G175&gt;0,"Under-predicted","Over-predicted")</f>
        <v>Over-predicted</v>
      </c>
    </row>
    <row r="176" spans="1:9">
      <c r="A176" t="s">
        <v>65</v>
      </c>
      <c r="B176" s="2">
        <v>45717</v>
      </c>
      <c r="C176" t="s">
        <v>15</v>
      </c>
      <c r="D176" t="s">
        <v>16</v>
      </c>
      <c r="E176" s="3">
        <v>758138.29</v>
      </c>
      <c r="F176" s="3">
        <f>Multiple_Model!$B$13+Multiple_Model!$B$14*Dummy_Variables!E176+Multiple_Model!$B$15*Dummy_Variables!F176+Multiple_Model!$B$16*Dummy_Variables!G176+Multiple_Model!$B$17*Dummy_Variables!I176+Multiple_Model!$B$18*Dummy_Variables!L176+Multiple_Model!$B$19*Dummy_Variables!H176+Multiple_Model!$B$20*Dummy_Variables!K176+Multiple_Model!$B$21*Dummy_Variables!J176+Multiple_Model!$B$22*Dummy_Variables!O176+Multiple_Model!$B$23*Dummy_Variables!P176+Multiple_Model!$B$24*Dummy_Variables!Q176+Multiple_Model!$B$25*Dummy_Variables!R176+Multiple_Model!$B$26*Dummy_Variables!S176+Multiple_Model!$B$27*Dummy_Variables!T176</f>
        <v>728163.7655399451</v>
      </c>
      <c r="G176" s="3">
        <f>E176-F176</f>
        <v>29974.524460054934</v>
      </c>
      <c r="H176" s="3">
        <f>ABS(G176)</f>
        <v>29974.524460054934</v>
      </c>
      <c r="I176" t="str">
        <f>IF(G176&gt;0,"Under-predicted","Over-predicted")</f>
        <v>Under-predicted</v>
      </c>
    </row>
    <row r="177" spans="1:9">
      <c r="A177" t="s">
        <v>65</v>
      </c>
      <c r="B177" s="2">
        <v>45748</v>
      </c>
      <c r="C177" t="s">
        <v>15</v>
      </c>
      <c r="D177" t="s">
        <v>16</v>
      </c>
      <c r="E177" s="3">
        <v>804264</v>
      </c>
      <c r="F177" s="3">
        <f>Multiple_Model!$B$13+Multiple_Model!$B$14*Dummy_Variables!E177+Multiple_Model!$B$15*Dummy_Variables!F177+Multiple_Model!$B$16*Dummy_Variables!G177+Multiple_Model!$B$17*Dummy_Variables!I177+Multiple_Model!$B$18*Dummy_Variables!L177+Multiple_Model!$B$19*Dummy_Variables!H177+Multiple_Model!$B$20*Dummy_Variables!K177+Multiple_Model!$B$21*Dummy_Variables!J177+Multiple_Model!$B$22*Dummy_Variables!O177+Multiple_Model!$B$23*Dummy_Variables!P177+Multiple_Model!$B$24*Dummy_Variables!Q177+Multiple_Model!$B$25*Dummy_Variables!R177+Multiple_Model!$B$26*Dummy_Variables!S177+Multiple_Model!$B$27*Dummy_Variables!T177</f>
        <v>793392.93126008776</v>
      </c>
      <c r="G177" s="3">
        <f>E177-F177</f>
        <v>10871.06873991224</v>
      </c>
      <c r="H177" s="3">
        <f>ABS(G177)</f>
        <v>10871.06873991224</v>
      </c>
      <c r="I177" t="str">
        <f>IF(G177&gt;0,"Under-predicted","Over-predicted")</f>
        <v>Under-predicted</v>
      </c>
    </row>
    <row r="178" spans="1:9">
      <c r="A178" t="s">
        <v>66</v>
      </c>
      <c r="B178" s="2">
        <v>45658</v>
      </c>
      <c r="C178" t="s">
        <v>27</v>
      </c>
      <c r="D178" t="s">
        <v>21</v>
      </c>
      <c r="E178" s="3">
        <v>887537.75</v>
      </c>
      <c r="F178" s="3">
        <f>Multiple_Model!$B$13+Multiple_Model!$B$14*Dummy_Variables!E178+Multiple_Model!$B$15*Dummy_Variables!F178+Multiple_Model!$B$16*Dummy_Variables!G178+Multiple_Model!$B$17*Dummy_Variables!I178+Multiple_Model!$B$18*Dummy_Variables!L178+Multiple_Model!$B$19*Dummy_Variables!H178+Multiple_Model!$B$20*Dummy_Variables!K178+Multiple_Model!$B$21*Dummy_Variables!J178+Multiple_Model!$B$22*Dummy_Variables!O178+Multiple_Model!$B$23*Dummy_Variables!P178+Multiple_Model!$B$24*Dummy_Variables!Q178+Multiple_Model!$B$25*Dummy_Variables!R178+Multiple_Model!$B$26*Dummy_Variables!S178+Multiple_Model!$B$27*Dummy_Variables!T178</f>
        <v>896939.19366053049</v>
      </c>
      <c r="G178" s="3">
        <f>E178-F178</f>
        <v>-9401.4436605304945</v>
      </c>
      <c r="H178" s="3">
        <f>ABS(G178)</f>
        <v>9401.4436605304945</v>
      </c>
      <c r="I178" t="str">
        <f>IF(G178&gt;0,"Under-predicted","Over-predicted")</f>
        <v>Over-predicted</v>
      </c>
    </row>
    <row r="179" spans="1:9">
      <c r="A179" t="s">
        <v>66</v>
      </c>
      <c r="B179" s="2">
        <v>45689</v>
      </c>
      <c r="C179" t="s">
        <v>27</v>
      </c>
      <c r="D179" t="s">
        <v>21</v>
      </c>
      <c r="E179" s="3">
        <v>783582</v>
      </c>
      <c r="F179" s="3">
        <f>Multiple_Model!$B$13+Multiple_Model!$B$14*Dummy_Variables!E179+Multiple_Model!$B$15*Dummy_Variables!F179+Multiple_Model!$B$16*Dummy_Variables!G179+Multiple_Model!$B$17*Dummy_Variables!I179+Multiple_Model!$B$18*Dummy_Variables!L179+Multiple_Model!$B$19*Dummy_Variables!H179+Multiple_Model!$B$20*Dummy_Variables!K179+Multiple_Model!$B$21*Dummy_Variables!J179+Multiple_Model!$B$22*Dummy_Variables!O179+Multiple_Model!$B$23*Dummy_Variables!P179+Multiple_Model!$B$24*Dummy_Variables!Q179+Multiple_Model!$B$25*Dummy_Variables!R179+Multiple_Model!$B$26*Dummy_Variables!S179+Multiple_Model!$B$27*Dummy_Variables!T179</f>
        <v>731554.46045444102</v>
      </c>
      <c r="G179" s="3">
        <f>E179-F179</f>
        <v>52027.539545558975</v>
      </c>
      <c r="H179" s="3">
        <f>ABS(G179)</f>
        <v>52027.539545558975</v>
      </c>
      <c r="I179" t="str">
        <f>IF(G179&gt;0,"Under-predicted","Over-predicted")</f>
        <v>Under-predicted</v>
      </c>
    </row>
    <row r="180" spans="1:9">
      <c r="A180" t="s">
        <v>66</v>
      </c>
      <c r="B180" s="2">
        <v>45717</v>
      </c>
      <c r="C180" t="s">
        <v>27</v>
      </c>
      <c r="D180" t="s">
        <v>21</v>
      </c>
      <c r="E180" s="3">
        <v>781955.52</v>
      </c>
      <c r="F180" s="3">
        <f>Multiple_Model!$B$13+Multiple_Model!$B$14*Dummy_Variables!E180+Multiple_Model!$B$15*Dummy_Variables!F180+Multiple_Model!$B$16*Dummy_Variables!G180+Multiple_Model!$B$17*Dummy_Variables!I180+Multiple_Model!$B$18*Dummy_Variables!L180+Multiple_Model!$B$19*Dummy_Variables!H180+Multiple_Model!$B$20*Dummy_Variables!K180+Multiple_Model!$B$21*Dummy_Variables!J180+Multiple_Model!$B$22*Dummy_Variables!O180+Multiple_Model!$B$23*Dummy_Variables!P180+Multiple_Model!$B$24*Dummy_Variables!Q180+Multiple_Model!$B$25*Dummy_Variables!R180+Multiple_Model!$B$26*Dummy_Variables!S180+Multiple_Model!$B$27*Dummy_Variables!T180</f>
        <v>790557.35519076337</v>
      </c>
      <c r="G180" s="3">
        <f>E180-F180</f>
        <v>-8601.8351907633478</v>
      </c>
      <c r="H180" s="3">
        <f>ABS(G180)</f>
        <v>8601.8351907633478</v>
      </c>
      <c r="I180" t="str">
        <f>IF(G180&gt;0,"Under-predicted","Over-predicted")</f>
        <v>Over-predicted</v>
      </c>
    </row>
    <row r="181" spans="1:9">
      <c r="A181" t="s">
        <v>66</v>
      </c>
      <c r="B181" s="2">
        <v>45748</v>
      </c>
      <c r="C181" t="s">
        <v>27</v>
      </c>
      <c r="D181" t="s">
        <v>21</v>
      </c>
      <c r="E181" s="3">
        <v>898031.04</v>
      </c>
      <c r="F181" s="3">
        <f>Multiple_Model!$B$13+Multiple_Model!$B$14*Dummy_Variables!E181+Multiple_Model!$B$15*Dummy_Variables!F181+Multiple_Model!$B$16*Dummy_Variables!G181+Multiple_Model!$B$17*Dummy_Variables!I181+Multiple_Model!$B$18*Dummy_Variables!L181+Multiple_Model!$B$19*Dummy_Variables!H181+Multiple_Model!$B$20*Dummy_Variables!K181+Multiple_Model!$B$21*Dummy_Variables!J181+Multiple_Model!$B$22*Dummy_Variables!O181+Multiple_Model!$B$23*Dummy_Variables!P181+Multiple_Model!$B$24*Dummy_Variables!Q181+Multiple_Model!$B$25*Dummy_Variables!R181+Multiple_Model!$B$26*Dummy_Variables!S181+Multiple_Model!$B$27*Dummy_Variables!T181</f>
        <v>841823.53326243279</v>
      </c>
      <c r="G181" s="3">
        <f>E181-F181</f>
        <v>56207.506737567252</v>
      </c>
      <c r="H181" s="3">
        <f>ABS(G181)</f>
        <v>56207.506737567252</v>
      </c>
      <c r="I181" t="str">
        <f>IF(G181&gt;0,"Under-predicted","Over-predicted")</f>
        <v>Under-predicted</v>
      </c>
    </row>
    <row r="182" spans="1:9">
      <c r="A182" t="s">
        <v>67</v>
      </c>
      <c r="B182" s="2">
        <v>45658</v>
      </c>
      <c r="C182" t="s">
        <v>27</v>
      </c>
      <c r="D182" t="s">
        <v>16</v>
      </c>
      <c r="E182" s="3">
        <v>855341.28</v>
      </c>
      <c r="F182" s="3">
        <f>Multiple_Model!$B$13+Multiple_Model!$B$14*Dummy_Variables!E182+Multiple_Model!$B$15*Dummy_Variables!F182+Multiple_Model!$B$16*Dummy_Variables!G182+Multiple_Model!$B$17*Dummy_Variables!I182+Multiple_Model!$B$18*Dummy_Variables!L182+Multiple_Model!$B$19*Dummy_Variables!H182+Multiple_Model!$B$20*Dummy_Variables!K182+Multiple_Model!$B$21*Dummy_Variables!J182+Multiple_Model!$B$22*Dummy_Variables!O182+Multiple_Model!$B$23*Dummy_Variables!P182+Multiple_Model!$B$24*Dummy_Variables!Q182+Multiple_Model!$B$25*Dummy_Variables!R182+Multiple_Model!$B$26*Dummy_Variables!S182+Multiple_Model!$B$27*Dummy_Variables!T182</f>
        <v>858440.02532400889</v>
      </c>
      <c r="G182" s="3">
        <f>E182-F182</f>
        <v>-3098.7453240088653</v>
      </c>
      <c r="H182" s="3">
        <f>ABS(G182)</f>
        <v>3098.7453240088653</v>
      </c>
      <c r="I182" t="str">
        <f>IF(G182&gt;0,"Under-predicted","Over-predicted")</f>
        <v>Over-predicted</v>
      </c>
    </row>
    <row r="183" spans="1:9">
      <c r="A183" t="s">
        <v>67</v>
      </c>
      <c r="B183" s="2">
        <v>45689</v>
      </c>
      <c r="C183" t="s">
        <v>27</v>
      </c>
      <c r="D183" t="s">
        <v>16</v>
      </c>
      <c r="E183" s="3">
        <v>751393.88</v>
      </c>
      <c r="F183" s="3">
        <f>Multiple_Model!$B$13+Multiple_Model!$B$14*Dummy_Variables!E183+Multiple_Model!$B$15*Dummy_Variables!F183+Multiple_Model!$B$16*Dummy_Variables!G183+Multiple_Model!$B$17*Dummy_Variables!I183+Multiple_Model!$B$18*Dummy_Variables!L183+Multiple_Model!$B$19*Dummy_Variables!H183+Multiple_Model!$B$20*Dummy_Variables!K183+Multiple_Model!$B$21*Dummy_Variables!J183+Multiple_Model!$B$22*Dummy_Variables!O183+Multiple_Model!$B$23*Dummy_Variables!P183+Multiple_Model!$B$24*Dummy_Variables!Q183+Multiple_Model!$B$25*Dummy_Variables!R183+Multiple_Model!$B$26*Dummy_Variables!S183+Multiple_Model!$B$27*Dummy_Variables!T183</f>
        <v>711013.41025978187</v>
      </c>
      <c r="G183" s="3">
        <f>E183-F183</f>
        <v>40380.469740218134</v>
      </c>
      <c r="H183" s="3">
        <f>ABS(G183)</f>
        <v>40380.469740218134</v>
      </c>
      <c r="I183" t="str">
        <f>IF(G183&gt;0,"Under-predicted","Over-predicted")</f>
        <v>Under-predicted</v>
      </c>
    </row>
    <row r="184" spans="1:9">
      <c r="A184" t="s">
        <v>67</v>
      </c>
      <c r="B184" s="2">
        <v>45717</v>
      </c>
      <c r="C184" t="s">
        <v>27</v>
      </c>
      <c r="D184" t="s">
        <v>16</v>
      </c>
      <c r="E184" s="3">
        <v>761077.08</v>
      </c>
      <c r="F184" s="3">
        <f>Multiple_Model!$B$13+Multiple_Model!$B$14*Dummy_Variables!E184+Multiple_Model!$B$15*Dummy_Variables!F184+Multiple_Model!$B$16*Dummy_Variables!G184+Multiple_Model!$B$17*Dummy_Variables!I184+Multiple_Model!$B$18*Dummy_Variables!L184+Multiple_Model!$B$19*Dummy_Variables!H184+Multiple_Model!$B$20*Dummy_Variables!K184+Multiple_Model!$B$21*Dummy_Variables!J184+Multiple_Model!$B$22*Dummy_Variables!O184+Multiple_Model!$B$23*Dummy_Variables!P184+Multiple_Model!$B$24*Dummy_Variables!Q184+Multiple_Model!$B$25*Dummy_Variables!R184+Multiple_Model!$B$26*Dummy_Variables!S184+Multiple_Model!$B$27*Dummy_Variables!T184</f>
        <v>785281.30922941258</v>
      </c>
      <c r="G184" s="3">
        <f>E184-F184</f>
        <v>-24204.229229412624</v>
      </c>
      <c r="H184" s="3">
        <f>ABS(G184)</f>
        <v>24204.229229412624</v>
      </c>
      <c r="I184" t="str">
        <f>IF(G184&gt;0,"Under-predicted","Over-predicted")</f>
        <v>Over-predicted</v>
      </c>
    </row>
    <row r="185" spans="1:9">
      <c r="A185" t="s">
        <v>67</v>
      </c>
      <c r="B185" s="2">
        <v>45748</v>
      </c>
      <c r="C185" t="s">
        <v>27</v>
      </c>
      <c r="D185" t="s">
        <v>16</v>
      </c>
      <c r="E185" s="3">
        <v>819660.59</v>
      </c>
      <c r="F185" s="3">
        <f>Multiple_Model!$B$13+Multiple_Model!$B$14*Dummy_Variables!E185+Multiple_Model!$B$15*Dummy_Variables!F185+Multiple_Model!$B$16*Dummy_Variables!G185+Multiple_Model!$B$17*Dummy_Variables!I185+Multiple_Model!$B$18*Dummy_Variables!L185+Multiple_Model!$B$19*Dummy_Variables!H185+Multiple_Model!$B$20*Dummy_Variables!K185+Multiple_Model!$B$21*Dummy_Variables!J185+Multiple_Model!$B$22*Dummy_Variables!O185+Multiple_Model!$B$23*Dummy_Variables!P185+Multiple_Model!$B$24*Dummy_Variables!Q185+Multiple_Model!$B$25*Dummy_Variables!R185+Multiple_Model!$B$26*Dummy_Variables!S185+Multiple_Model!$B$27*Dummy_Variables!T185</f>
        <v>816299.39899428107</v>
      </c>
      <c r="G185" s="3">
        <f>E185-F185</f>
        <v>3361.1910057188943</v>
      </c>
      <c r="H185" s="3">
        <f>ABS(G185)</f>
        <v>3361.1910057188943</v>
      </c>
      <c r="I185" t="str">
        <f>IF(G185&gt;0,"Under-predicted","Over-predicted")</f>
        <v>Under-predicted</v>
      </c>
    </row>
    <row r="186" spans="1:9">
      <c r="A186" t="s">
        <v>68</v>
      </c>
      <c r="B186" s="2">
        <v>45658</v>
      </c>
      <c r="C186" t="s">
        <v>20</v>
      </c>
      <c r="D186" t="s">
        <v>18</v>
      </c>
      <c r="E186" s="3">
        <v>681855.56</v>
      </c>
      <c r="F186" s="3">
        <f>Multiple_Model!$B$13+Multiple_Model!$B$14*Dummy_Variables!E186+Multiple_Model!$B$15*Dummy_Variables!F186+Multiple_Model!$B$16*Dummy_Variables!G186+Multiple_Model!$B$17*Dummy_Variables!I186+Multiple_Model!$B$18*Dummy_Variables!L186+Multiple_Model!$B$19*Dummy_Variables!H186+Multiple_Model!$B$20*Dummy_Variables!K186+Multiple_Model!$B$21*Dummy_Variables!J186+Multiple_Model!$B$22*Dummy_Variables!O186+Multiple_Model!$B$23*Dummy_Variables!P186+Multiple_Model!$B$24*Dummy_Variables!Q186+Multiple_Model!$B$25*Dummy_Variables!R186+Multiple_Model!$B$26*Dummy_Variables!S186+Multiple_Model!$B$27*Dummy_Variables!T186</f>
        <v>701714.89114850492</v>
      </c>
      <c r="G186" s="3">
        <f>E186-F186</f>
        <v>-19859.331148504862</v>
      </c>
      <c r="H186" s="3">
        <f>ABS(G186)</f>
        <v>19859.331148504862</v>
      </c>
      <c r="I186" t="str">
        <f>IF(G186&gt;0,"Under-predicted","Over-predicted")</f>
        <v>Over-predicted</v>
      </c>
    </row>
    <row r="187" spans="1:9">
      <c r="A187" t="s">
        <v>68</v>
      </c>
      <c r="B187" s="2">
        <v>45689</v>
      </c>
      <c r="C187" t="s">
        <v>20</v>
      </c>
      <c r="D187" t="s">
        <v>18</v>
      </c>
      <c r="E187" s="3">
        <v>678311.17</v>
      </c>
      <c r="F187" s="3">
        <f>Multiple_Model!$B$13+Multiple_Model!$B$14*Dummy_Variables!E187+Multiple_Model!$B$15*Dummy_Variables!F187+Multiple_Model!$B$16*Dummy_Variables!G187+Multiple_Model!$B$17*Dummy_Variables!I187+Multiple_Model!$B$18*Dummy_Variables!L187+Multiple_Model!$B$19*Dummy_Variables!H187+Multiple_Model!$B$20*Dummy_Variables!K187+Multiple_Model!$B$21*Dummy_Variables!J187+Multiple_Model!$B$22*Dummy_Variables!O187+Multiple_Model!$B$23*Dummy_Variables!P187+Multiple_Model!$B$24*Dummy_Variables!Q187+Multiple_Model!$B$25*Dummy_Variables!R187+Multiple_Model!$B$26*Dummy_Variables!S187+Multiple_Model!$B$27*Dummy_Variables!T187</f>
        <v>648716.82031933707</v>
      </c>
      <c r="G187" s="3">
        <f>E187-F187</f>
        <v>29594.34968066297</v>
      </c>
      <c r="H187" s="3">
        <f>ABS(G187)</f>
        <v>29594.34968066297</v>
      </c>
      <c r="I187" t="str">
        <f>IF(G187&gt;0,"Under-predicted","Over-predicted")</f>
        <v>Under-predicted</v>
      </c>
    </row>
    <row r="188" spans="1:9">
      <c r="A188" t="s">
        <v>68</v>
      </c>
      <c r="B188" s="2">
        <v>45717</v>
      </c>
      <c r="C188" t="s">
        <v>20</v>
      </c>
      <c r="D188" t="s">
        <v>18</v>
      </c>
      <c r="E188" s="3">
        <v>765906.95</v>
      </c>
      <c r="F188" s="3">
        <f>Multiple_Model!$B$13+Multiple_Model!$B$14*Dummy_Variables!E188+Multiple_Model!$B$15*Dummy_Variables!F188+Multiple_Model!$B$16*Dummy_Variables!G188+Multiple_Model!$B$17*Dummy_Variables!I188+Multiple_Model!$B$18*Dummy_Variables!L188+Multiple_Model!$B$19*Dummy_Variables!H188+Multiple_Model!$B$20*Dummy_Variables!K188+Multiple_Model!$B$21*Dummy_Variables!J188+Multiple_Model!$B$22*Dummy_Variables!O188+Multiple_Model!$B$23*Dummy_Variables!P188+Multiple_Model!$B$24*Dummy_Variables!Q188+Multiple_Model!$B$25*Dummy_Variables!R188+Multiple_Model!$B$26*Dummy_Variables!S188+Multiple_Model!$B$27*Dummy_Variables!T188</f>
        <v>724840.43354078243</v>
      </c>
      <c r="G188" s="3">
        <f>E188-F188</f>
        <v>41066.516459217528</v>
      </c>
      <c r="H188" s="3">
        <f>ABS(G188)</f>
        <v>41066.516459217528</v>
      </c>
      <c r="I188" t="str">
        <f>IF(G188&gt;0,"Under-predicted","Over-predicted")</f>
        <v>Under-predicted</v>
      </c>
    </row>
    <row r="189" spans="1:9">
      <c r="A189" t="s">
        <v>68</v>
      </c>
      <c r="B189" s="2">
        <v>45748</v>
      </c>
      <c r="C189" t="s">
        <v>20</v>
      </c>
      <c r="D189" t="s">
        <v>18</v>
      </c>
      <c r="E189" s="3">
        <v>712546.38</v>
      </c>
      <c r="F189" s="3">
        <f>Multiple_Model!$B$13+Multiple_Model!$B$14*Dummy_Variables!E189+Multiple_Model!$B$15*Dummy_Variables!F189+Multiple_Model!$B$16*Dummy_Variables!G189+Multiple_Model!$B$17*Dummy_Variables!I189+Multiple_Model!$B$18*Dummy_Variables!L189+Multiple_Model!$B$19*Dummy_Variables!H189+Multiple_Model!$B$20*Dummy_Variables!K189+Multiple_Model!$B$21*Dummy_Variables!J189+Multiple_Model!$B$22*Dummy_Variables!O189+Multiple_Model!$B$23*Dummy_Variables!P189+Multiple_Model!$B$24*Dummy_Variables!Q189+Multiple_Model!$B$25*Dummy_Variables!R189+Multiple_Model!$B$26*Dummy_Variables!S189+Multiple_Model!$B$27*Dummy_Variables!T189</f>
        <v>678050.508685368</v>
      </c>
      <c r="G189" s="3">
        <f>E189-F189</f>
        <v>34495.871314632008</v>
      </c>
      <c r="H189" s="3">
        <f>ABS(G189)</f>
        <v>34495.871314632008</v>
      </c>
      <c r="I189" t="str">
        <f>IF(G189&gt;0,"Under-predicted","Over-predicted")</f>
        <v>Under-predicted</v>
      </c>
    </row>
    <row r="190" spans="1:9">
      <c r="A190" t="s">
        <v>69</v>
      </c>
      <c r="B190" s="2">
        <v>45658</v>
      </c>
      <c r="C190" t="s">
        <v>15</v>
      </c>
      <c r="D190" t="s">
        <v>18</v>
      </c>
      <c r="E190" s="3">
        <v>625993.82999999996</v>
      </c>
      <c r="F190" s="3">
        <f>Multiple_Model!$B$13+Multiple_Model!$B$14*Dummy_Variables!E190+Multiple_Model!$B$15*Dummy_Variables!F190+Multiple_Model!$B$16*Dummy_Variables!G190+Multiple_Model!$B$17*Dummy_Variables!I190+Multiple_Model!$B$18*Dummy_Variables!L190+Multiple_Model!$B$19*Dummy_Variables!H190+Multiple_Model!$B$20*Dummy_Variables!K190+Multiple_Model!$B$21*Dummy_Variables!J190+Multiple_Model!$B$22*Dummy_Variables!O190+Multiple_Model!$B$23*Dummy_Variables!P190+Multiple_Model!$B$24*Dummy_Variables!Q190+Multiple_Model!$B$25*Dummy_Variables!R190+Multiple_Model!$B$26*Dummy_Variables!S190+Multiple_Model!$B$27*Dummy_Variables!T190</f>
        <v>572107.63650434732</v>
      </c>
      <c r="G190" s="3">
        <f>E190-F190</f>
        <v>53886.193495652638</v>
      </c>
      <c r="H190" s="3">
        <f>ABS(G190)</f>
        <v>53886.193495652638</v>
      </c>
      <c r="I190" t="str">
        <f>IF(G190&gt;0,"Under-predicted","Over-predicted")</f>
        <v>Under-predicted</v>
      </c>
    </row>
    <row r="191" spans="1:9">
      <c r="A191" t="s">
        <v>69</v>
      </c>
      <c r="B191" s="2">
        <v>45689</v>
      </c>
      <c r="C191" t="s">
        <v>15</v>
      </c>
      <c r="D191" t="s">
        <v>18</v>
      </c>
      <c r="E191" s="3">
        <v>550962.93000000005</v>
      </c>
      <c r="F191" s="3">
        <f>Multiple_Model!$B$13+Multiple_Model!$B$14*Dummy_Variables!E191+Multiple_Model!$B$15*Dummy_Variables!F191+Multiple_Model!$B$16*Dummy_Variables!G191+Multiple_Model!$B$17*Dummy_Variables!I191+Multiple_Model!$B$18*Dummy_Variables!L191+Multiple_Model!$B$19*Dummy_Variables!H191+Multiple_Model!$B$20*Dummy_Variables!K191+Multiple_Model!$B$21*Dummy_Variables!J191+Multiple_Model!$B$22*Dummy_Variables!O191+Multiple_Model!$B$23*Dummy_Variables!P191+Multiple_Model!$B$24*Dummy_Variables!Q191+Multiple_Model!$B$25*Dummy_Variables!R191+Multiple_Model!$B$26*Dummy_Variables!S191+Multiple_Model!$B$27*Dummy_Variables!T191</f>
        <v>545510.62656410504</v>
      </c>
      <c r="G191" s="3">
        <f>E191-F191</f>
        <v>5452.3034358950099</v>
      </c>
      <c r="H191" s="3">
        <f>ABS(G191)</f>
        <v>5452.3034358950099</v>
      </c>
      <c r="I191" t="str">
        <f>IF(G191&gt;0,"Under-predicted","Over-predicted")</f>
        <v>Under-predicted</v>
      </c>
    </row>
    <row r="192" spans="1:9">
      <c r="A192" t="s">
        <v>69</v>
      </c>
      <c r="B192" s="2">
        <v>45717</v>
      </c>
      <c r="C192" t="s">
        <v>15</v>
      </c>
      <c r="D192" t="s">
        <v>18</v>
      </c>
      <c r="E192" s="3">
        <v>443275.59</v>
      </c>
      <c r="F192" s="3">
        <f>Multiple_Model!$B$13+Multiple_Model!$B$14*Dummy_Variables!E192+Multiple_Model!$B$15*Dummy_Variables!F192+Multiple_Model!$B$16*Dummy_Variables!G192+Multiple_Model!$B$17*Dummy_Variables!I192+Multiple_Model!$B$18*Dummy_Variables!L192+Multiple_Model!$B$19*Dummy_Variables!H192+Multiple_Model!$B$20*Dummy_Variables!K192+Multiple_Model!$B$21*Dummy_Variables!J192+Multiple_Model!$B$22*Dummy_Variables!O192+Multiple_Model!$B$23*Dummy_Variables!P192+Multiple_Model!$B$24*Dummy_Variables!Q192+Multiple_Model!$B$25*Dummy_Variables!R192+Multiple_Model!$B$26*Dummy_Variables!S192+Multiple_Model!$B$27*Dummy_Variables!T192</f>
        <v>451688.7028097572</v>
      </c>
      <c r="G192" s="3">
        <f>E192-F192</f>
        <v>-8413.1128097571782</v>
      </c>
      <c r="H192" s="3">
        <f>ABS(G192)</f>
        <v>8413.1128097571782</v>
      </c>
      <c r="I192" t="str">
        <f>IF(G192&gt;0,"Under-predicted","Over-predicted")</f>
        <v>Over-predicted</v>
      </c>
    </row>
    <row r="193" spans="1:9">
      <c r="A193" t="s">
        <v>69</v>
      </c>
      <c r="B193" s="2">
        <v>45748</v>
      </c>
      <c r="C193" t="s">
        <v>15</v>
      </c>
      <c r="D193" t="s">
        <v>18</v>
      </c>
      <c r="E193" s="3">
        <v>554012.06999999995</v>
      </c>
      <c r="F193" s="3">
        <f>Multiple_Model!$B$13+Multiple_Model!$B$14*Dummy_Variables!E193+Multiple_Model!$B$15*Dummy_Variables!F193+Multiple_Model!$B$16*Dummy_Variables!G193+Multiple_Model!$B$17*Dummy_Variables!I193+Multiple_Model!$B$18*Dummy_Variables!L193+Multiple_Model!$B$19*Dummy_Variables!H193+Multiple_Model!$B$20*Dummy_Variables!K193+Multiple_Model!$B$21*Dummy_Variables!J193+Multiple_Model!$B$22*Dummy_Variables!O193+Multiple_Model!$B$23*Dummy_Variables!P193+Multiple_Model!$B$24*Dummy_Variables!Q193+Multiple_Model!$B$25*Dummy_Variables!R193+Multiple_Model!$B$26*Dummy_Variables!S193+Multiple_Model!$B$27*Dummy_Variables!T193</f>
        <v>613166.46997009066</v>
      </c>
      <c r="G193" s="3">
        <f>E193-F193</f>
        <v>-59154.399970090715</v>
      </c>
      <c r="H193" s="3">
        <f>ABS(G193)</f>
        <v>59154.399970090715</v>
      </c>
      <c r="I193" t="str">
        <f>IF(G193&gt;0,"Under-predicted","Over-predicted")</f>
        <v>Over-predicted</v>
      </c>
    </row>
    <row r="194" spans="1:9">
      <c r="A194" t="s">
        <v>70</v>
      </c>
      <c r="B194" s="2">
        <v>45658</v>
      </c>
      <c r="C194" t="s">
        <v>27</v>
      </c>
      <c r="D194" t="s">
        <v>16</v>
      </c>
      <c r="E194" s="3">
        <v>643428.85</v>
      </c>
      <c r="F194" s="3">
        <f>Multiple_Model!$B$13+Multiple_Model!$B$14*Dummy_Variables!E194+Multiple_Model!$B$15*Dummy_Variables!F194+Multiple_Model!$B$16*Dummy_Variables!G194+Multiple_Model!$B$17*Dummy_Variables!I194+Multiple_Model!$B$18*Dummy_Variables!L194+Multiple_Model!$B$19*Dummy_Variables!H194+Multiple_Model!$B$20*Dummy_Variables!K194+Multiple_Model!$B$21*Dummy_Variables!J194+Multiple_Model!$B$22*Dummy_Variables!O194+Multiple_Model!$B$23*Dummy_Variables!P194+Multiple_Model!$B$24*Dummy_Variables!Q194+Multiple_Model!$B$25*Dummy_Variables!R194+Multiple_Model!$B$26*Dummy_Variables!S194+Multiple_Model!$B$27*Dummy_Variables!T194</f>
        <v>684469.42554536951</v>
      </c>
      <c r="G194" s="3">
        <f>E194-F194</f>
        <v>-41040.575545369531</v>
      </c>
      <c r="H194" s="3">
        <f>ABS(G194)</f>
        <v>41040.575545369531</v>
      </c>
      <c r="I194" t="str">
        <f>IF(G194&gt;0,"Under-predicted","Over-predicted")</f>
        <v>Over-predicted</v>
      </c>
    </row>
    <row r="195" spans="1:9">
      <c r="A195" t="s">
        <v>70</v>
      </c>
      <c r="B195" s="2">
        <v>45689</v>
      </c>
      <c r="C195" t="s">
        <v>27</v>
      </c>
      <c r="D195" t="s">
        <v>16</v>
      </c>
      <c r="E195" s="3">
        <v>611924.27</v>
      </c>
      <c r="F195" s="3">
        <f>Multiple_Model!$B$13+Multiple_Model!$B$14*Dummy_Variables!E195+Multiple_Model!$B$15*Dummy_Variables!F195+Multiple_Model!$B$16*Dummy_Variables!G195+Multiple_Model!$B$17*Dummy_Variables!I195+Multiple_Model!$B$18*Dummy_Variables!L195+Multiple_Model!$B$19*Dummy_Variables!H195+Multiple_Model!$B$20*Dummy_Variables!K195+Multiple_Model!$B$21*Dummy_Variables!J195+Multiple_Model!$B$22*Dummy_Variables!O195+Multiple_Model!$B$23*Dummy_Variables!P195+Multiple_Model!$B$24*Dummy_Variables!Q195+Multiple_Model!$B$25*Dummy_Variables!R195+Multiple_Model!$B$26*Dummy_Variables!S195+Multiple_Model!$B$27*Dummy_Variables!T195</f>
        <v>611220.18397859554</v>
      </c>
      <c r="G195" s="3">
        <f>E195-F195</f>
        <v>704.08602140448056</v>
      </c>
      <c r="H195" s="3">
        <f>ABS(G195)</f>
        <v>704.08602140448056</v>
      </c>
      <c r="I195" t="str">
        <f>IF(G195&gt;0,"Under-predicted","Over-predicted")</f>
        <v>Under-predicted</v>
      </c>
    </row>
    <row r="196" spans="1:9">
      <c r="A196" t="s">
        <v>70</v>
      </c>
      <c r="B196" s="2">
        <v>45717</v>
      </c>
      <c r="C196" t="s">
        <v>27</v>
      </c>
      <c r="D196" t="s">
        <v>16</v>
      </c>
      <c r="E196" s="3">
        <v>559422.02</v>
      </c>
      <c r="F196" s="3">
        <f>Multiple_Model!$B$13+Multiple_Model!$B$14*Dummy_Variables!E196+Multiple_Model!$B$15*Dummy_Variables!F196+Multiple_Model!$B$16*Dummy_Variables!G196+Multiple_Model!$B$17*Dummy_Variables!I196+Multiple_Model!$B$18*Dummy_Variables!L196+Multiple_Model!$B$19*Dummy_Variables!H196+Multiple_Model!$B$20*Dummy_Variables!K196+Multiple_Model!$B$21*Dummy_Variables!J196+Multiple_Model!$B$22*Dummy_Variables!O196+Multiple_Model!$B$23*Dummy_Variables!P196+Multiple_Model!$B$24*Dummy_Variables!Q196+Multiple_Model!$B$25*Dummy_Variables!R196+Multiple_Model!$B$26*Dummy_Variables!S196+Multiple_Model!$B$27*Dummy_Variables!T196</f>
        <v>563430.86953300645</v>
      </c>
      <c r="G196" s="3">
        <f>E196-F196</f>
        <v>-4008.8495330064325</v>
      </c>
      <c r="H196" s="3">
        <f>ABS(G196)</f>
        <v>4008.8495330064325</v>
      </c>
      <c r="I196" t="str">
        <f>IF(G196&gt;0,"Under-predicted","Over-predicted")</f>
        <v>Over-predicted</v>
      </c>
    </row>
    <row r="197" spans="1:9">
      <c r="A197" t="s">
        <v>70</v>
      </c>
      <c r="B197" s="2">
        <v>45748</v>
      </c>
      <c r="C197" t="s">
        <v>27</v>
      </c>
      <c r="D197" t="s">
        <v>16</v>
      </c>
      <c r="E197" s="3">
        <v>449465.06</v>
      </c>
      <c r="F197" s="3">
        <f>Multiple_Model!$B$13+Multiple_Model!$B$14*Dummy_Variables!E197+Multiple_Model!$B$15*Dummy_Variables!F197+Multiple_Model!$B$16*Dummy_Variables!G197+Multiple_Model!$B$17*Dummy_Variables!I197+Multiple_Model!$B$18*Dummy_Variables!L197+Multiple_Model!$B$19*Dummy_Variables!H197+Multiple_Model!$B$20*Dummy_Variables!K197+Multiple_Model!$B$21*Dummy_Variables!J197+Multiple_Model!$B$22*Dummy_Variables!O197+Multiple_Model!$B$23*Dummy_Variables!P197+Multiple_Model!$B$24*Dummy_Variables!Q197+Multiple_Model!$B$25*Dummy_Variables!R197+Multiple_Model!$B$26*Dummy_Variables!S197+Multiple_Model!$B$27*Dummy_Variables!T197</f>
        <v>482085.28112351836</v>
      </c>
      <c r="G197" s="3">
        <f>E197-F197</f>
        <v>-32620.221123518364</v>
      </c>
      <c r="H197" s="3">
        <f>ABS(G197)</f>
        <v>32620.221123518364</v>
      </c>
      <c r="I197" t="str">
        <f>IF(G197&gt;0,"Under-predicted","Over-predicted")</f>
        <v>Over-predicted</v>
      </c>
    </row>
    <row r="198" spans="1:9">
      <c r="A198" t="s">
        <v>71</v>
      </c>
      <c r="B198" s="2">
        <v>45658</v>
      </c>
      <c r="C198" t="s">
        <v>20</v>
      </c>
      <c r="D198" t="s">
        <v>16</v>
      </c>
      <c r="E198" s="3">
        <v>691447.43</v>
      </c>
      <c r="F198" s="3">
        <f>Multiple_Model!$B$13+Multiple_Model!$B$14*Dummy_Variables!E198+Multiple_Model!$B$15*Dummy_Variables!F198+Multiple_Model!$B$16*Dummy_Variables!G198+Multiple_Model!$B$17*Dummy_Variables!I198+Multiple_Model!$B$18*Dummy_Variables!L198+Multiple_Model!$B$19*Dummy_Variables!H198+Multiple_Model!$B$20*Dummy_Variables!K198+Multiple_Model!$B$21*Dummy_Variables!J198+Multiple_Model!$B$22*Dummy_Variables!O198+Multiple_Model!$B$23*Dummy_Variables!P198+Multiple_Model!$B$24*Dummy_Variables!Q198+Multiple_Model!$B$25*Dummy_Variables!R198+Multiple_Model!$B$26*Dummy_Variables!S198+Multiple_Model!$B$27*Dummy_Variables!T198</f>
        <v>635145.48809820507</v>
      </c>
      <c r="G198" s="3">
        <f>E198-F198</f>
        <v>56301.941901794984</v>
      </c>
      <c r="H198" s="3">
        <f>ABS(G198)</f>
        <v>56301.941901794984</v>
      </c>
      <c r="I198" t="str">
        <f>IF(G198&gt;0,"Under-predicted","Over-predicted")</f>
        <v>Under-predicted</v>
      </c>
    </row>
    <row r="199" spans="1:9">
      <c r="A199" t="s">
        <v>71</v>
      </c>
      <c r="B199" s="2">
        <v>45689</v>
      </c>
      <c r="C199" t="s">
        <v>20</v>
      </c>
      <c r="D199" t="s">
        <v>16</v>
      </c>
      <c r="E199" s="3">
        <v>574066.61</v>
      </c>
      <c r="F199" s="3">
        <f>Multiple_Model!$B$13+Multiple_Model!$B$14*Dummy_Variables!E199+Multiple_Model!$B$15*Dummy_Variables!F199+Multiple_Model!$B$16*Dummy_Variables!G199+Multiple_Model!$B$17*Dummy_Variables!I199+Multiple_Model!$B$18*Dummy_Variables!L199+Multiple_Model!$B$19*Dummy_Variables!H199+Multiple_Model!$B$20*Dummy_Variables!K199+Multiple_Model!$B$21*Dummy_Variables!J199+Multiple_Model!$B$22*Dummy_Variables!O199+Multiple_Model!$B$23*Dummy_Variables!P199+Multiple_Model!$B$24*Dummy_Variables!Q199+Multiple_Model!$B$25*Dummy_Variables!R199+Multiple_Model!$B$26*Dummy_Variables!S199+Multiple_Model!$B$27*Dummy_Variables!T199</f>
        <v>578677.80574741657</v>
      </c>
      <c r="G199" s="3">
        <f>E199-F199</f>
        <v>-4611.1957474165829</v>
      </c>
      <c r="H199" s="3">
        <f>ABS(G199)</f>
        <v>4611.1957474165829</v>
      </c>
      <c r="I199" t="str">
        <f>IF(G199&gt;0,"Under-predicted","Over-predicted")</f>
        <v>Over-predicted</v>
      </c>
    </row>
    <row r="200" spans="1:9">
      <c r="A200" t="s">
        <v>71</v>
      </c>
      <c r="B200" s="2">
        <v>45717</v>
      </c>
      <c r="C200" t="s">
        <v>20</v>
      </c>
      <c r="D200" t="s">
        <v>16</v>
      </c>
      <c r="E200" s="3">
        <v>578949.84</v>
      </c>
      <c r="F200" s="3">
        <f>Multiple_Model!$B$13+Multiple_Model!$B$14*Dummy_Variables!E200+Multiple_Model!$B$15*Dummy_Variables!F200+Multiple_Model!$B$16*Dummy_Variables!G200+Multiple_Model!$B$17*Dummy_Variables!I200+Multiple_Model!$B$18*Dummy_Variables!L200+Multiple_Model!$B$19*Dummy_Variables!H200+Multiple_Model!$B$20*Dummy_Variables!K200+Multiple_Model!$B$21*Dummy_Variables!J200+Multiple_Model!$B$22*Dummy_Variables!O200+Multiple_Model!$B$23*Dummy_Variables!P200+Multiple_Model!$B$24*Dummy_Variables!Q200+Multiple_Model!$B$25*Dummy_Variables!R200+Multiple_Model!$B$26*Dummy_Variables!S200+Multiple_Model!$B$27*Dummy_Variables!T200</f>
        <v>612990.69421628688</v>
      </c>
      <c r="G200" s="3">
        <f>E200-F200</f>
        <v>-34040.854216286913</v>
      </c>
      <c r="H200" s="3">
        <f>ABS(G200)</f>
        <v>34040.854216286913</v>
      </c>
      <c r="I200" t="str">
        <f>IF(G200&gt;0,"Under-predicted","Over-predicted")</f>
        <v>Over-predicted</v>
      </c>
    </row>
    <row r="201" spans="1:9">
      <c r="A201" t="s">
        <v>71</v>
      </c>
      <c r="B201" s="2">
        <v>45748</v>
      </c>
      <c r="C201" t="s">
        <v>20</v>
      </c>
      <c r="D201" t="s">
        <v>16</v>
      </c>
      <c r="E201" s="3">
        <v>735786.64</v>
      </c>
      <c r="F201" s="3">
        <f>Multiple_Model!$B$13+Multiple_Model!$B$14*Dummy_Variables!E201+Multiple_Model!$B$15*Dummy_Variables!F201+Multiple_Model!$B$16*Dummy_Variables!G201+Multiple_Model!$B$17*Dummy_Variables!I201+Multiple_Model!$B$18*Dummy_Variables!L201+Multiple_Model!$B$19*Dummy_Variables!H201+Multiple_Model!$B$20*Dummy_Variables!K201+Multiple_Model!$B$21*Dummy_Variables!J201+Multiple_Model!$B$22*Dummy_Variables!O201+Multiple_Model!$B$23*Dummy_Variables!P201+Multiple_Model!$B$24*Dummy_Variables!Q201+Multiple_Model!$B$25*Dummy_Variables!R201+Multiple_Model!$B$26*Dummy_Variables!S201+Multiple_Model!$B$27*Dummy_Variables!T201</f>
        <v>663063.71325051994</v>
      </c>
      <c r="G201" s="3">
        <f>E201-F201</f>
        <v>72722.926749480073</v>
      </c>
      <c r="H201" s="3">
        <f>ABS(G201)</f>
        <v>72722.926749480073</v>
      </c>
      <c r="I201" t="str">
        <f>IF(G201&gt;0,"Under-predicted","Over-predicted")</f>
        <v>Under-predicted</v>
      </c>
    </row>
    <row r="202" spans="1:9">
      <c r="A202" t="s">
        <v>72</v>
      </c>
      <c r="B202" s="2">
        <v>45658</v>
      </c>
      <c r="C202" t="s">
        <v>15</v>
      </c>
      <c r="D202" t="s">
        <v>21</v>
      </c>
      <c r="E202" s="3">
        <v>598904.9</v>
      </c>
      <c r="F202" s="3">
        <f>Multiple_Model!$B$13+Multiple_Model!$B$14*Dummy_Variables!E202+Multiple_Model!$B$15*Dummy_Variables!F202+Multiple_Model!$B$16*Dummy_Variables!G202+Multiple_Model!$B$17*Dummy_Variables!I202+Multiple_Model!$B$18*Dummy_Variables!L202+Multiple_Model!$B$19*Dummy_Variables!H202+Multiple_Model!$B$20*Dummy_Variables!K202+Multiple_Model!$B$21*Dummy_Variables!J202+Multiple_Model!$B$22*Dummy_Variables!O202+Multiple_Model!$B$23*Dummy_Variables!P202+Multiple_Model!$B$24*Dummy_Variables!Q202+Multiple_Model!$B$25*Dummy_Variables!R202+Multiple_Model!$B$26*Dummy_Variables!S202+Multiple_Model!$B$27*Dummy_Variables!T202</f>
        <v>645768.80769224802</v>
      </c>
      <c r="G202" s="3">
        <f>E202-F202</f>
        <v>-46863.907692248002</v>
      </c>
      <c r="H202" s="3">
        <f>ABS(G202)</f>
        <v>46863.907692248002</v>
      </c>
      <c r="I202" t="str">
        <f>IF(G202&gt;0,"Under-predicted","Over-predicted")</f>
        <v>Over-predicted</v>
      </c>
    </row>
    <row r="203" spans="1:9">
      <c r="A203" t="s">
        <v>72</v>
      </c>
      <c r="B203" s="2">
        <v>45689</v>
      </c>
      <c r="C203" t="s">
        <v>15</v>
      </c>
      <c r="D203" t="s">
        <v>21</v>
      </c>
      <c r="E203" s="3">
        <v>787715.51</v>
      </c>
      <c r="F203" s="3">
        <f>Multiple_Model!$B$13+Multiple_Model!$B$14*Dummy_Variables!E203+Multiple_Model!$B$15*Dummy_Variables!F203+Multiple_Model!$B$16*Dummy_Variables!G203+Multiple_Model!$B$17*Dummy_Variables!I203+Multiple_Model!$B$18*Dummy_Variables!L203+Multiple_Model!$B$19*Dummy_Variables!H203+Multiple_Model!$B$20*Dummy_Variables!K203+Multiple_Model!$B$21*Dummy_Variables!J203+Multiple_Model!$B$22*Dummy_Variables!O203+Multiple_Model!$B$23*Dummy_Variables!P203+Multiple_Model!$B$24*Dummy_Variables!Q203+Multiple_Model!$B$25*Dummy_Variables!R203+Multiple_Model!$B$26*Dummy_Variables!S203+Multiple_Model!$B$27*Dummy_Variables!T203</f>
        <v>701381.33655926283</v>
      </c>
      <c r="G203" s="3">
        <f>E203-F203</f>
        <v>86334.173440737184</v>
      </c>
      <c r="H203" s="3">
        <f>ABS(G203)</f>
        <v>86334.173440737184</v>
      </c>
      <c r="I203" t="str">
        <f>IF(G203&gt;0,"Under-predicted","Over-predicted")</f>
        <v>Under-predicted</v>
      </c>
    </row>
    <row r="204" spans="1:9">
      <c r="A204" t="s">
        <v>72</v>
      </c>
      <c r="B204" s="2">
        <v>45717</v>
      </c>
      <c r="C204" t="s">
        <v>15</v>
      </c>
      <c r="D204" t="s">
        <v>21</v>
      </c>
      <c r="E204" s="3">
        <v>607084.92000000004</v>
      </c>
      <c r="F204" s="3">
        <f>Multiple_Model!$B$13+Multiple_Model!$B$14*Dummy_Variables!E204+Multiple_Model!$B$15*Dummy_Variables!F204+Multiple_Model!$B$16*Dummy_Variables!G204+Multiple_Model!$B$17*Dummy_Variables!I204+Multiple_Model!$B$18*Dummy_Variables!L204+Multiple_Model!$B$19*Dummy_Variables!H204+Multiple_Model!$B$20*Dummy_Variables!K204+Multiple_Model!$B$21*Dummy_Variables!J204+Multiple_Model!$B$22*Dummy_Variables!O204+Multiple_Model!$B$23*Dummy_Variables!P204+Multiple_Model!$B$24*Dummy_Variables!Q204+Multiple_Model!$B$25*Dummy_Variables!R204+Multiple_Model!$B$26*Dummy_Variables!S204+Multiple_Model!$B$27*Dummy_Variables!T204</f>
        <v>661334.29699349985</v>
      </c>
      <c r="G204" s="3">
        <f>E204-F204</f>
        <v>-54249.376993499813</v>
      </c>
      <c r="H204" s="3">
        <f>ABS(G204)</f>
        <v>54249.376993499813</v>
      </c>
      <c r="I204" t="str">
        <f>IF(G204&gt;0,"Under-predicted","Over-predicted")</f>
        <v>Over-predicted</v>
      </c>
    </row>
    <row r="205" spans="1:9">
      <c r="A205" t="s">
        <v>72</v>
      </c>
      <c r="B205" s="2">
        <v>45748</v>
      </c>
      <c r="C205" t="s">
        <v>15</v>
      </c>
      <c r="D205" t="s">
        <v>21</v>
      </c>
      <c r="E205" s="3">
        <v>650795.49</v>
      </c>
      <c r="F205" s="3">
        <f>Multiple_Model!$B$13+Multiple_Model!$B$14*Dummy_Variables!E205+Multiple_Model!$B$15*Dummy_Variables!F205+Multiple_Model!$B$16*Dummy_Variables!G205+Multiple_Model!$B$17*Dummy_Variables!I205+Multiple_Model!$B$18*Dummy_Variables!L205+Multiple_Model!$B$19*Dummy_Variables!H205+Multiple_Model!$B$20*Dummy_Variables!K205+Multiple_Model!$B$21*Dummy_Variables!J205+Multiple_Model!$B$22*Dummy_Variables!O205+Multiple_Model!$B$23*Dummy_Variables!P205+Multiple_Model!$B$24*Dummy_Variables!Q205+Multiple_Model!$B$25*Dummy_Variables!R205+Multiple_Model!$B$26*Dummy_Variables!S205+Multiple_Model!$B$27*Dummy_Variables!T205</f>
        <v>694670.23249182827</v>
      </c>
      <c r="G205" s="3">
        <f>E205-F205</f>
        <v>-43874.742491828278</v>
      </c>
      <c r="H205" s="3">
        <f>ABS(G205)</f>
        <v>43874.742491828278</v>
      </c>
      <c r="I205" t="str">
        <f>IF(G205&gt;0,"Under-predicted","Over-predicted")</f>
        <v>Over-predicted</v>
      </c>
    </row>
    <row r="206" spans="1:9">
      <c r="A206" t="s">
        <v>73</v>
      </c>
      <c r="B206" s="2">
        <v>45658</v>
      </c>
      <c r="C206" t="s">
        <v>15</v>
      </c>
      <c r="D206" t="s">
        <v>28</v>
      </c>
      <c r="E206" s="3">
        <v>825060.52</v>
      </c>
      <c r="F206" s="3">
        <f>Multiple_Model!$B$13+Multiple_Model!$B$14*Dummy_Variables!E206+Multiple_Model!$B$15*Dummy_Variables!F206+Multiple_Model!$B$16*Dummy_Variables!G206+Multiple_Model!$B$17*Dummy_Variables!I206+Multiple_Model!$B$18*Dummy_Variables!L206+Multiple_Model!$B$19*Dummy_Variables!H206+Multiple_Model!$B$20*Dummy_Variables!K206+Multiple_Model!$B$21*Dummy_Variables!J206+Multiple_Model!$B$22*Dummy_Variables!O206+Multiple_Model!$B$23*Dummy_Variables!P206+Multiple_Model!$B$24*Dummy_Variables!Q206+Multiple_Model!$B$25*Dummy_Variables!R206+Multiple_Model!$B$26*Dummy_Variables!S206+Multiple_Model!$B$27*Dummy_Variables!T206</f>
        <v>858292.01220119547</v>
      </c>
      <c r="G206" s="3">
        <f>E206-F206</f>
        <v>-33231.492201195448</v>
      </c>
      <c r="H206" s="3">
        <f>ABS(G206)</f>
        <v>33231.492201195448</v>
      </c>
      <c r="I206" t="str">
        <f>IF(G206&gt;0,"Under-predicted","Over-predicted")</f>
        <v>Over-predicted</v>
      </c>
    </row>
    <row r="207" spans="1:9">
      <c r="A207" t="s">
        <v>73</v>
      </c>
      <c r="B207" s="2">
        <v>45689</v>
      </c>
      <c r="C207" t="s">
        <v>15</v>
      </c>
      <c r="D207" t="s">
        <v>28</v>
      </c>
      <c r="E207" s="3">
        <v>795464.47</v>
      </c>
      <c r="F207" s="3">
        <f>Multiple_Model!$B$13+Multiple_Model!$B$14*Dummy_Variables!E207+Multiple_Model!$B$15*Dummy_Variables!F207+Multiple_Model!$B$16*Dummy_Variables!G207+Multiple_Model!$B$17*Dummy_Variables!I207+Multiple_Model!$B$18*Dummy_Variables!L207+Multiple_Model!$B$19*Dummy_Variables!H207+Multiple_Model!$B$20*Dummy_Variables!K207+Multiple_Model!$B$21*Dummy_Variables!J207+Multiple_Model!$B$22*Dummy_Variables!O207+Multiple_Model!$B$23*Dummy_Variables!P207+Multiple_Model!$B$24*Dummy_Variables!Q207+Multiple_Model!$B$25*Dummy_Variables!R207+Multiple_Model!$B$26*Dummy_Variables!S207+Multiple_Model!$B$27*Dummy_Variables!T207</f>
        <v>748848.96682046086</v>
      </c>
      <c r="G207" s="3">
        <f>E207-F207</f>
        <v>46615.503179539111</v>
      </c>
      <c r="H207" s="3">
        <f>ABS(G207)</f>
        <v>46615.503179539111</v>
      </c>
      <c r="I207" t="str">
        <f>IF(G207&gt;0,"Under-predicted","Over-predicted")</f>
        <v>Under-predicted</v>
      </c>
    </row>
    <row r="208" spans="1:9">
      <c r="A208" t="s">
        <v>73</v>
      </c>
      <c r="B208" s="2">
        <v>45717</v>
      </c>
      <c r="C208" t="s">
        <v>15</v>
      </c>
      <c r="D208" t="s">
        <v>28</v>
      </c>
      <c r="E208" s="3">
        <v>671868.59</v>
      </c>
      <c r="F208" s="3">
        <f>Multiple_Model!$B$13+Multiple_Model!$B$14*Dummy_Variables!E208+Multiple_Model!$B$15*Dummy_Variables!F208+Multiple_Model!$B$16*Dummy_Variables!G208+Multiple_Model!$B$17*Dummy_Variables!I208+Multiple_Model!$B$18*Dummy_Variables!L208+Multiple_Model!$B$19*Dummy_Variables!H208+Multiple_Model!$B$20*Dummy_Variables!K208+Multiple_Model!$B$21*Dummy_Variables!J208+Multiple_Model!$B$22*Dummy_Variables!O208+Multiple_Model!$B$23*Dummy_Variables!P208+Multiple_Model!$B$24*Dummy_Variables!Q208+Multiple_Model!$B$25*Dummy_Variables!R208+Multiple_Model!$B$26*Dummy_Variables!S208+Multiple_Model!$B$27*Dummy_Variables!T208</f>
        <v>722617.62268714758</v>
      </c>
      <c r="G208" s="3">
        <f>E208-F208</f>
        <v>-50749.032687147614</v>
      </c>
      <c r="H208" s="3">
        <f>ABS(G208)</f>
        <v>50749.032687147614</v>
      </c>
      <c r="I208" t="str">
        <f>IF(G208&gt;0,"Under-predicted","Over-predicted")</f>
        <v>Over-predicted</v>
      </c>
    </row>
    <row r="209" spans="1:9">
      <c r="A209" t="s">
        <v>73</v>
      </c>
      <c r="B209" s="2">
        <v>45748</v>
      </c>
      <c r="C209" t="s">
        <v>15</v>
      </c>
      <c r="D209" t="s">
        <v>28</v>
      </c>
      <c r="E209" s="3">
        <v>675917.63</v>
      </c>
      <c r="F209" s="3">
        <f>Multiple_Model!$B$13+Multiple_Model!$B$14*Dummy_Variables!E209+Multiple_Model!$B$15*Dummy_Variables!F209+Multiple_Model!$B$16*Dummy_Variables!G209+Multiple_Model!$B$17*Dummy_Variables!I209+Multiple_Model!$B$18*Dummy_Variables!L209+Multiple_Model!$B$19*Dummy_Variables!H209+Multiple_Model!$B$20*Dummy_Variables!K209+Multiple_Model!$B$21*Dummy_Variables!J209+Multiple_Model!$B$22*Dummy_Variables!O209+Multiple_Model!$B$23*Dummy_Variables!P209+Multiple_Model!$B$24*Dummy_Variables!Q209+Multiple_Model!$B$25*Dummy_Variables!R209+Multiple_Model!$B$26*Dummy_Variables!S209+Multiple_Model!$B$27*Dummy_Variables!T209</f>
        <v>751678.00721932366</v>
      </c>
      <c r="G209" s="3">
        <f>E209-F209</f>
        <v>-75760.377219323651</v>
      </c>
      <c r="H209" s="3">
        <f>ABS(G209)</f>
        <v>75760.377219323651</v>
      </c>
      <c r="I209" t="str">
        <f>IF(G209&gt;0,"Under-predicted","Over-predicted")</f>
        <v>Over-predicted</v>
      </c>
    </row>
    <row r="210" spans="1:9">
      <c r="A210" t="s">
        <v>74</v>
      </c>
      <c r="B210" s="2">
        <v>45658</v>
      </c>
      <c r="C210" t="s">
        <v>15</v>
      </c>
      <c r="D210" t="s">
        <v>18</v>
      </c>
      <c r="E210" s="3">
        <v>810446.53</v>
      </c>
      <c r="F210" s="3">
        <f>Multiple_Model!$B$13+Multiple_Model!$B$14*Dummy_Variables!E210+Multiple_Model!$B$15*Dummy_Variables!F210+Multiple_Model!$B$16*Dummy_Variables!G210+Multiple_Model!$B$17*Dummy_Variables!I210+Multiple_Model!$B$18*Dummy_Variables!L210+Multiple_Model!$B$19*Dummy_Variables!H210+Multiple_Model!$B$20*Dummy_Variables!K210+Multiple_Model!$B$21*Dummy_Variables!J210+Multiple_Model!$B$22*Dummy_Variables!O210+Multiple_Model!$B$23*Dummy_Variables!P210+Multiple_Model!$B$24*Dummy_Variables!Q210+Multiple_Model!$B$25*Dummy_Variables!R210+Multiple_Model!$B$26*Dummy_Variables!S210+Multiple_Model!$B$27*Dummy_Variables!T210</f>
        <v>810254.19286683586</v>
      </c>
      <c r="G210" s="3">
        <f>E210-F210</f>
        <v>192.33713316416834</v>
      </c>
      <c r="H210" s="3">
        <f>ABS(G210)</f>
        <v>192.33713316416834</v>
      </c>
      <c r="I210" t="str">
        <f>IF(G210&gt;0,"Under-predicted","Over-predicted")</f>
        <v>Under-predicted</v>
      </c>
    </row>
    <row r="211" spans="1:9">
      <c r="A211" t="s">
        <v>74</v>
      </c>
      <c r="B211" s="2">
        <v>45689</v>
      </c>
      <c r="C211" t="s">
        <v>15</v>
      </c>
      <c r="D211" t="s">
        <v>18</v>
      </c>
      <c r="E211" s="3">
        <v>691288.19</v>
      </c>
      <c r="F211" s="3">
        <f>Multiple_Model!$B$13+Multiple_Model!$B$14*Dummy_Variables!E211+Multiple_Model!$B$15*Dummy_Variables!F211+Multiple_Model!$B$16*Dummy_Variables!G211+Multiple_Model!$B$17*Dummy_Variables!I211+Multiple_Model!$B$18*Dummy_Variables!L211+Multiple_Model!$B$19*Dummy_Variables!H211+Multiple_Model!$B$20*Dummy_Variables!K211+Multiple_Model!$B$21*Dummy_Variables!J211+Multiple_Model!$B$22*Dummy_Variables!O211+Multiple_Model!$B$23*Dummy_Variables!P211+Multiple_Model!$B$24*Dummy_Variables!Q211+Multiple_Model!$B$25*Dummy_Variables!R211+Multiple_Model!$B$26*Dummy_Variables!S211+Multiple_Model!$B$27*Dummy_Variables!T211</f>
        <v>739923.58719176066</v>
      </c>
      <c r="G211" s="3">
        <f>E211-F211</f>
        <v>-48635.397191760712</v>
      </c>
      <c r="H211" s="3">
        <f>ABS(G211)</f>
        <v>48635.397191760712</v>
      </c>
      <c r="I211" t="str">
        <f>IF(G211&gt;0,"Under-predicted","Over-predicted")</f>
        <v>Over-predicted</v>
      </c>
    </row>
    <row r="212" spans="1:9">
      <c r="A212" t="s">
        <v>74</v>
      </c>
      <c r="B212" s="2">
        <v>45717</v>
      </c>
      <c r="C212" t="s">
        <v>15</v>
      </c>
      <c r="D212" t="s">
        <v>18</v>
      </c>
      <c r="E212" s="3">
        <v>946833.54</v>
      </c>
      <c r="F212" s="3">
        <f>Multiple_Model!$B$13+Multiple_Model!$B$14*Dummy_Variables!E212+Multiple_Model!$B$15*Dummy_Variables!F212+Multiple_Model!$B$16*Dummy_Variables!G212+Multiple_Model!$B$17*Dummy_Variables!I212+Multiple_Model!$B$18*Dummy_Variables!L212+Multiple_Model!$B$19*Dummy_Variables!H212+Multiple_Model!$B$20*Dummy_Variables!K212+Multiple_Model!$B$21*Dummy_Variables!J212+Multiple_Model!$B$22*Dummy_Variables!O212+Multiple_Model!$B$23*Dummy_Variables!P212+Multiple_Model!$B$24*Dummy_Variables!Q212+Multiple_Model!$B$25*Dummy_Variables!R212+Multiple_Model!$B$26*Dummy_Variables!S212+Multiple_Model!$B$27*Dummy_Variables!T212</f>
        <v>980974.07336741942</v>
      </c>
      <c r="G212" s="3">
        <f>E212-F212</f>
        <v>-34140.533367419383</v>
      </c>
      <c r="H212" s="3">
        <f>ABS(G212)</f>
        <v>34140.533367419383</v>
      </c>
      <c r="I212" t="str">
        <f>IF(G212&gt;0,"Under-predicted","Over-predicted")</f>
        <v>Over-predicted</v>
      </c>
    </row>
    <row r="213" spans="1:9">
      <c r="A213" t="s">
        <v>74</v>
      </c>
      <c r="B213" s="2">
        <v>45748</v>
      </c>
      <c r="C213" t="s">
        <v>15</v>
      </c>
      <c r="D213" t="s">
        <v>18</v>
      </c>
      <c r="E213" s="3">
        <v>761963.23</v>
      </c>
      <c r="F213" s="3">
        <f>Multiple_Model!$B$13+Multiple_Model!$B$14*Dummy_Variables!E213+Multiple_Model!$B$15*Dummy_Variables!F213+Multiple_Model!$B$16*Dummy_Variables!G213+Multiple_Model!$B$17*Dummy_Variables!I213+Multiple_Model!$B$18*Dummy_Variables!L213+Multiple_Model!$B$19*Dummy_Variables!H213+Multiple_Model!$B$20*Dummy_Variables!K213+Multiple_Model!$B$21*Dummy_Variables!J213+Multiple_Model!$B$22*Dummy_Variables!O213+Multiple_Model!$B$23*Dummy_Variables!P213+Multiple_Model!$B$24*Dummy_Variables!Q213+Multiple_Model!$B$25*Dummy_Variables!R213+Multiple_Model!$B$26*Dummy_Variables!S213+Multiple_Model!$B$27*Dummy_Variables!T213</f>
        <v>733525.19617191469</v>
      </c>
      <c r="G213" s="3">
        <f>E213-F213</f>
        <v>28438.033828085288</v>
      </c>
      <c r="H213" s="3">
        <f>ABS(G213)</f>
        <v>28438.033828085288</v>
      </c>
      <c r="I213" t="str">
        <f>IF(G213&gt;0,"Under-predicted","Over-predicted")</f>
        <v>Under-predicted</v>
      </c>
    </row>
    <row r="214" spans="1:9">
      <c r="A214" t="s">
        <v>75</v>
      </c>
      <c r="B214" s="2">
        <v>45658</v>
      </c>
      <c r="C214" t="s">
        <v>27</v>
      </c>
      <c r="D214" t="s">
        <v>16</v>
      </c>
      <c r="E214" s="3">
        <v>812152.6</v>
      </c>
      <c r="F214" s="3">
        <f>Multiple_Model!$B$13+Multiple_Model!$B$14*Dummy_Variables!E214+Multiple_Model!$B$15*Dummy_Variables!F214+Multiple_Model!$B$16*Dummy_Variables!G214+Multiple_Model!$B$17*Dummy_Variables!I214+Multiple_Model!$B$18*Dummy_Variables!L214+Multiple_Model!$B$19*Dummy_Variables!H214+Multiple_Model!$B$20*Dummy_Variables!K214+Multiple_Model!$B$21*Dummy_Variables!J214+Multiple_Model!$B$22*Dummy_Variables!O214+Multiple_Model!$B$23*Dummy_Variables!P214+Multiple_Model!$B$24*Dummy_Variables!Q214+Multiple_Model!$B$25*Dummy_Variables!R214+Multiple_Model!$B$26*Dummy_Variables!S214+Multiple_Model!$B$27*Dummy_Variables!T214</f>
        <v>791117.28500648262</v>
      </c>
      <c r="G214" s="3">
        <f>E214-F214</f>
        <v>21035.314993517357</v>
      </c>
      <c r="H214" s="3">
        <f>ABS(G214)</f>
        <v>21035.314993517357</v>
      </c>
      <c r="I214" t="str">
        <f>IF(G214&gt;0,"Under-predicted","Over-predicted")</f>
        <v>Under-predicted</v>
      </c>
    </row>
    <row r="215" spans="1:9">
      <c r="A215" t="s">
        <v>75</v>
      </c>
      <c r="B215" s="2">
        <v>45689</v>
      </c>
      <c r="C215" t="s">
        <v>27</v>
      </c>
      <c r="D215" t="s">
        <v>16</v>
      </c>
      <c r="E215" s="3">
        <v>804975.5</v>
      </c>
      <c r="F215" s="3">
        <f>Multiple_Model!$B$13+Multiple_Model!$B$14*Dummy_Variables!E215+Multiple_Model!$B$15*Dummy_Variables!F215+Multiple_Model!$B$16*Dummy_Variables!G215+Multiple_Model!$B$17*Dummy_Variables!I215+Multiple_Model!$B$18*Dummy_Variables!L215+Multiple_Model!$B$19*Dummy_Variables!H215+Multiple_Model!$B$20*Dummy_Variables!K215+Multiple_Model!$B$21*Dummy_Variables!J215+Multiple_Model!$B$22*Dummy_Variables!O215+Multiple_Model!$B$23*Dummy_Variables!P215+Multiple_Model!$B$24*Dummy_Variables!Q215+Multiple_Model!$B$25*Dummy_Variables!R215+Multiple_Model!$B$26*Dummy_Variables!S215+Multiple_Model!$B$27*Dummy_Variables!T215</f>
        <v>764383.6053105318</v>
      </c>
      <c r="G215" s="3">
        <f>E215-F215</f>
        <v>40591.894689468201</v>
      </c>
      <c r="H215" s="3">
        <f>ABS(G215)</f>
        <v>40591.894689468201</v>
      </c>
      <c r="I215" t="str">
        <f>IF(G215&gt;0,"Under-predicted","Over-predicted")</f>
        <v>Under-predicted</v>
      </c>
    </row>
    <row r="216" spans="1:9">
      <c r="A216" t="s">
        <v>75</v>
      </c>
      <c r="B216" s="2">
        <v>45717</v>
      </c>
      <c r="C216" t="s">
        <v>27</v>
      </c>
      <c r="D216" t="s">
        <v>16</v>
      </c>
      <c r="E216" s="3">
        <v>752321.72</v>
      </c>
      <c r="F216" s="3">
        <f>Multiple_Model!$B$13+Multiple_Model!$B$14*Dummy_Variables!E216+Multiple_Model!$B$15*Dummy_Variables!F216+Multiple_Model!$B$16*Dummy_Variables!G216+Multiple_Model!$B$17*Dummy_Variables!I216+Multiple_Model!$B$18*Dummy_Variables!L216+Multiple_Model!$B$19*Dummy_Variables!H216+Multiple_Model!$B$20*Dummy_Variables!K216+Multiple_Model!$B$21*Dummy_Variables!J216+Multiple_Model!$B$22*Dummy_Variables!O216+Multiple_Model!$B$23*Dummy_Variables!P216+Multiple_Model!$B$24*Dummy_Variables!Q216+Multiple_Model!$B$25*Dummy_Variables!R216+Multiple_Model!$B$26*Dummy_Variables!S216+Multiple_Model!$B$27*Dummy_Variables!T216</f>
        <v>769044.69277188205</v>
      </c>
      <c r="G216" s="3">
        <f>E216-F216</f>
        <v>-16722.97277188208</v>
      </c>
      <c r="H216" s="3">
        <f>ABS(G216)</f>
        <v>16722.97277188208</v>
      </c>
      <c r="I216" t="str">
        <f>IF(G216&gt;0,"Under-predicted","Over-predicted")</f>
        <v>Over-predicted</v>
      </c>
    </row>
    <row r="217" spans="1:9">
      <c r="A217" t="s">
        <v>75</v>
      </c>
      <c r="B217" s="2">
        <v>45748</v>
      </c>
      <c r="C217" t="s">
        <v>27</v>
      </c>
      <c r="D217" t="s">
        <v>16</v>
      </c>
      <c r="E217" s="3">
        <v>836908.24</v>
      </c>
      <c r="F217" s="3">
        <f>Multiple_Model!$B$13+Multiple_Model!$B$14*Dummy_Variables!E217+Multiple_Model!$B$15*Dummy_Variables!F217+Multiple_Model!$B$16*Dummy_Variables!G217+Multiple_Model!$B$17*Dummy_Variables!I217+Multiple_Model!$B$18*Dummy_Variables!L217+Multiple_Model!$B$19*Dummy_Variables!H217+Multiple_Model!$B$20*Dummy_Variables!K217+Multiple_Model!$B$21*Dummy_Variables!J217+Multiple_Model!$B$22*Dummy_Variables!O217+Multiple_Model!$B$23*Dummy_Variables!P217+Multiple_Model!$B$24*Dummy_Variables!Q217+Multiple_Model!$B$25*Dummy_Variables!R217+Multiple_Model!$B$26*Dummy_Variables!S217+Multiple_Model!$B$27*Dummy_Variables!T217</f>
        <v>836330.7521379122</v>
      </c>
      <c r="G217" s="3">
        <f>E217-F217</f>
        <v>577.4878620877862</v>
      </c>
      <c r="H217" s="3">
        <f>ABS(G217)</f>
        <v>577.4878620877862</v>
      </c>
      <c r="I217" t="str">
        <f>IF(G217&gt;0,"Under-predicted","Over-predicted")</f>
        <v>Under-predicted</v>
      </c>
    </row>
    <row r="218" spans="1:9">
      <c r="A218" t="s">
        <v>76</v>
      </c>
      <c r="B218" s="2">
        <v>45658</v>
      </c>
      <c r="C218" t="s">
        <v>20</v>
      </c>
      <c r="D218" t="s">
        <v>21</v>
      </c>
      <c r="E218" s="3">
        <v>674289.1</v>
      </c>
      <c r="F218" s="3">
        <f>Multiple_Model!$B$13+Multiple_Model!$B$14*Dummy_Variables!E218+Multiple_Model!$B$15*Dummy_Variables!F218+Multiple_Model!$B$16*Dummy_Variables!G218+Multiple_Model!$B$17*Dummy_Variables!I218+Multiple_Model!$B$18*Dummy_Variables!L218+Multiple_Model!$B$19*Dummy_Variables!H218+Multiple_Model!$B$20*Dummy_Variables!K218+Multiple_Model!$B$21*Dummy_Variables!J218+Multiple_Model!$B$22*Dummy_Variables!O218+Multiple_Model!$B$23*Dummy_Variables!P218+Multiple_Model!$B$24*Dummy_Variables!Q218+Multiple_Model!$B$25*Dummy_Variables!R218+Multiple_Model!$B$26*Dummy_Variables!S218+Multiple_Model!$B$27*Dummy_Variables!T218</f>
        <v>648222.79511227785</v>
      </c>
      <c r="G218" s="3">
        <f>E218-F218</f>
        <v>26066.30488772213</v>
      </c>
      <c r="H218" s="3">
        <f>ABS(G218)</f>
        <v>26066.30488772213</v>
      </c>
      <c r="I218" t="str">
        <f>IF(G218&gt;0,"Under-predicted","Over-predicted")</f>
        <v>Under-predicted</v>
      </c>
    </row>
    <row r="219" spans="1:9">
      <c r="A219" t="s">
        <v>76</v>
      </c>
      <c r="B219" s="2">
        <v>45689</v>
      </c>
      <c r="C219" t="s">
        <v>20</v>
      </c>
      <c r="D219" t="s">
        <v>21</v>
      </c>
      <c r="E219" s="3">
        <v>622892.42000000004</v>
      </c>
      <c r="F219" s="3">
        <f>Multiple_Model!$B$13+Multiple_Model!$B$14*Dummy_Variables!E219+Multiple_Model!$B$15*Dummy_Variables!F219+Multiple_Model!$B$16*Dummy_Variables!G219+Multiple_Model!$B$17*Dummy_Variables!I219+Multiple_Model!$B$18*Dummy_Variables!L219+Multiple_Model!$B$19*Dummy_Variables!H219+Multiple_Model!$B$20*Dummy_Variables!K219+Multiple_Model!$B$21*Dummy_Variables!J219+Multiple_Model!$B$22*Dummy_Variables!O219+Multiple_Model!$B$23*Dummy_Variables!P219+Multiple_Model!$B$24*Dummy_Variables!Q219+Multiple_Model!$B$25*Dummy_Variables!R219+Multiple_Model!$B$26*Dummy_Variables!S219+Multiple_Model!$B$27*Dummy_Variables!T219</f>
        <v>625954.04264517326</v>
      </c>
      <c r="G219" s="3">
        <f>E219-F219</f>
        <v>-3061.6226451732218</v>
      </c>
      <c r="H219" s="3">
        <f>ABS(G219)</f>
        <v>3061.6226451732218</v>
      </c>
      <c r="I219" t="str">
        <f>IF(G219&gt;0,"Under-predicted","Over-predicted")</f>
        <v>Over-predicted</v>
      </c>
    </row>
    <row r="220" spans="1:9">
      <c r="A220" t="s">
        <v>76</v>
      </c>
      <c r="B220" s="2">
        <v>45717</v>
      </c>
      <c r="C220" t="s">
        <v>20</v>
      </c>
      <c r="D220" t="s">
        <v>21</v>
      </c>
      <c r="E220" s="3">
        <v>673348.56</v>
      </c>
      <c r="F220" s="3">
        <f>Multiple_Model!$B$13+Multiple_Model!$B$14*Dummy_Variables!E220+Multiple_Model!$B$15*Dummy_Variables!F220+Multiple_Model!$B$16*Dummy_Variables!G220+Multiple_Model!$B$17*Dummy_Variables!I220+Multiple_Model!$B$18*Dummy_Variables!L220+Multiple_Model!$B$19*Dummy_Variables!H220+Multiple_Model!$B$20*Dummy_Variables!K220+Multiple_Model!$B$21*Dummy_Variables!J220+Multiple_Model!$B$22*Dummy_Variables!O220+Multiple_Model!$B$23*Dummy_Variables!P220+Multiple_Model!$B$24*Dummy_Variables!Q220+Multiple_Model!$B$25*Dummy_Variables!R220+Multiple_Model!$B$26*Dummy_Variables!S220+Multiple_Model!$B$27*Dummy_Variables!T220</f>
        <v>646603.90618339658</v>
      </c>
      <c r="G220" s="3">
        <f>E220-F220</f>
        <v>26744.653816603473</v>
      </c>
      <c r="H220" s="3">
        <f>ABS(G220)</f>
        <v>26744.653816603473</v>
      </c>
      <c r="I220" t="str">
        <f>IF(G220&gt;0,"Under-predicted","Over-predicted")</f>
        <v>Under-predicted</v>
      </c>
    </row>
    <row r="221" spans="1:9">
      <c r="A221" t="s">
        <v>76</v>
      </c>
      <c r="B221" s="2">
        <v>45748</v>
      </c>
      <c r="C221" t="s">
        <v>20</v>
      </c>
      <c r="D221" t="s">
        <v>21</v>
      </c>
      <c r="E221" s="3">
        <v>606278.30000000005</v>
      </c>
      <c r="F221" s="3">
        <f>Multiple_Model!$B$13+Multiple_Model!$B$14*Dummy_Variables!E221+Multiple_Model!$B$15*Dummy_Variables!F221+Multiple_Model!$B$16*Dummy_Variables!G221+Multiple_Model!$B$17*Dummy_Variables!I221+Multiple_Model!$B$18*Dummy_Variables!L221+Multiple_Model!$B$19*Dummy_Variables!H221+Multiple_Model!$B$20*Dummy_Variables!K221+Multiple_Model!$B$21*Dummy_Variables!J221+Multiple_Model!$B$22*Dummy_Variables!O221+Multiple_Model!$B$23*Dummy_Variables!P221+Multiple_Model!$B$24*Dummy_Variables!Q221+Multiple_Model!$B$25*Dummy_Variables!R221+Multiple_Model!$B$26*Dummy_Variables!S221+Multiple_Model!$B$27*Dummy_Variables!T221</f>
        <v>608953.92287891032</v>
      </c>
      <c r="G221" s="3">
        <f>E221-F221</f>
        <v>-2675.6228789102752</v>
      </c>
      <c r="H221" s="3">
        <f>ABS(G221)</f>
        <v>2675.6228789102752</v>
      </c>
      <c r="I221" t="str">
        <f>IF(G221&gt;0,"Under-predicted","Over-predicted")</f>
        <v>Over-predicted</v>
      </c>
    </row>
    <row r="222" spans="1:9">
      <c r="A222" t="s">
        <v>77</v>
      </c>
      <c r="B222" s="2">
        <v>45658</v>
      </c>
      <c r="C222" t="s">
        <v>15</v>
      </c>
      <c r="D222" t="s">
        <v>18</v>
      </c>
      <c r="E222" s="3">
        <v>712219.81</v>
      </c>
      <c r="F222" s="3">
        <f>Multiple_Model!$B$13+Multiple_Model!$B$14*Dummy_Variables!E222+Multiple_Model!$B$15*Dummy_Variables!F222+Multiple_Model!$B$16*Dummy_Variables!G222+Multiple_Model!$B$17*Dummy_Variables!I222+Multiple_Model!$B$18*Dummy_Variables!L222+Multiple_Model!$B$19*Dummy_Variables!H222+Multiple_Model!$B$20*Dummy_Variables!K222+Multiple_Model!$B$21*Dummy_Variables!J222+Multiple_Model!$B$22*Dummy_Variables!O222+Multiple_Model!$B$23*Dummy_Variables!P222+Multiple_Model!$B$24*Dummy_Variables!Q222+Multiple_Model!$B$25*Dummy_Variables!R222+Multiple_Model!$B$26*Dummy_Variables!S222+Multiple_Model!$B$27*Dummy_Variables!T222</f>
        <v>701184.2157451415</v>
      </c>
      <c r="G222" s="3">
        <f>E222-F222</f>
        <v>11035.594254858559</v>
      </c>
      <c r="H222" s="3">
        <f>ABS(G222)</f>
        <v>11035.594254858559</v>
      </c>
      <c r="I222" t="str">
        <f>IF(G222&gt;0,"Under-predicted","Over-predicted")</f>
        <v>Under-predicted</v>
      </c>
    </row>
    <row r="223" spans="1:9">
      <c r="A223" t="s">
        <v>77</v>
      </c>
      <c r="B223" s="2">
        <v>45689</v>
      </c>
      <c r="C223" t="s">
        <v>15</v>
      </c>
      <c r="D223" t="s">
        <v>18</v>
      </c>
      <c r="E223" s="3">
        <v>672670.54</v>
      </c>
      <c r="F223" s="3">
        <f>Multiple_Model!$B$13+Multiple_Model!$B$14*Dummy_Variables!E223+Multiple_Model!$B$15*Dummy_Variables!F223+Multiple_Model!$B$16*Dummy_Variables!G223+Multiple_Model!$B$17*Dummy_Variables!I223+Multiple_Model!$B$18*Dummy_Variables!L223+Multiple_Model!$B$19*Dummy_Variables!H223+Multiple_Model!$B$20*Dummy_Variables!K223+Multiple_Model!$B$21*Dummy_Variables!J223+Multiple_Model!$B$22*Dummy_Variables!O223+Multiple_Model!$B$23*Dummy_Variables!P223+Multiple_Model!$B$24*Dummy_Variables!Q223+Multiple_Model!$B$25*Dummy_Variables!R223+Multiple_Model!$B$26*Dummy_Variables!S223+Multiple_Model!$B$27*Dummy_Variables!T223</f>
        <v>671283.65981614194</v>
      </c>
      <c r="G223" s="3">
        <f>E223-F223</f>
        <v>1386.8801838580985</v>
      </c>
      <c r="H223" s="3">
        <f>ABS(G223)</f>
        <v>1386.8801838580985</v>
      </c>
      <c r="I223" t="str">
        <f>IF(G223&gt;0,"Under-predicted","Over-predicted")</f>
        <v>Under-predicted</v>
      </c>
    </row>
    <row r="224" spans="1:9">
      <c r="A224" t="s">
        <v>77</v>
      </c>
      <c r="B224" s="2">
        <v>45717</v>
      </c>
      <c r="C224" t="s">
        <v>15</v>
      </c>
      <c r="D224" t="s">
        <v>18</v>
      </c>
      <c r="E224" s="3">
        <v>732667.92</v>
      </c>
      <c r="F224" s="3">
        <f>Multiple_Model!$B$13+Multiple_Model!$B$14*Dummy_Variables!E224+Multiple_Model!$B$15*Dummy_Variables!F224+Multiple_Model!$B$16*Dummy_Variables!G224+Multiple_Model!$B$17*Dummy_Variables!I224+Multiple_Model!$B$18*Dummy_Variables!L224+Multiple_Model!$B$19*Dummy_Variables!H224+Multiple_Model!$B$20*Dummy_Variables!K224+Multiple_Model!$B$21*Dummy_Variables!J224+Multiple_Model!$B$22*Dummy_Variables!O224+Multiple_Model!$B$23*Dummy_Variables!P224+Multiple_Model!$B$24*Dummy_Variables!Q224+Multiple_Model!$B$25*Dummy_Variables!R224+Multiple_Model!$B$26*Dummy_Variables!S224+Multiple_Model!$B$27*Dummy_Variables!T224</f>
        <v>722781.57663185371</v>
      </c>
      <c r="G224" s="3">
        <f>E224-F224</f>
        <v>9886.3433681463357</v>
      </c>
      <c r="H224" s="3">
        <f>ABS(G224)</f>
        <v>9886.3433681463357</v>
      </c>
      <c r="I224" t="str">
        <f>IF(G224&gt;0,"Under-predicted","Over-predicted")</f>
        <v>Under-predicted</v>
      </c>
    </row>
    <row r="225" spans="1:9">
      <c r="A225" t="s">
        <v>77</v>
      </c>
      <c r="B225" s="2">
        <v>45748</v>
      </c>
      <c r="C225" t="s">
        <v>15</v>
      </c>
      <c r="D225" t="s">
        <v>18</v>
      </c>
      <c r="E225" s="3">
        <v>723531.4</v>
      </c>
      <c r="F225" s="3">
        <f>Multiple_Model!$B$13+Multiple_Model!$B$14*Dummy_Variables!E225+Multiple_Model!$B$15*Dummy_Variables!F225+Multiple_Model!$B$16*Dummy_Variables!G225+Multiple_Model!$B$17*Dummy_Variables!I225+Multiple_Model!$B$18*Dummy_Variables!L225+Multiple_Model!$B$19*Dummy_Variables!H225+Multiple_Model!$B$20*Dummy_Variables!K225+Multiple_Model!$B$21*Dummy_Variables!J225+Multiple_Model!$B$22*Dummy_Variables!O225+Multiple_Model!$B$23*Dummy_Variables!P225+Multiple_Model!$B$24*Dummy_Variables!Q225+Multiple_Model!$B$25*Dummy_Variables!R225+Multiple_Model!$B$26*Dummy_Variables!S225+Multiple_Model!$B$27*Dummy_Variables!T225</f>
        <v>743394.00552142283</v>
      </c>
      <c r="G225" s="3">
        <f>E225-F225</f>
        <v>-19862.605521422811</v>
      </c>
      <c r="H225" s="3">
        <f>ABS(G225)</f>
        <v>19862.605521422811</v>
      </c>
      <c r="I225" t="str">
        <f>IF(G225&gt;0,"Under-predicted","Over-predicted")</f>
        <v>Over-predicted</v>
      </c>
    </row>
    <row r="226" spans="1:9">
      <c r="A226" t="s">
        <v>78</v>
      </c>
      <c r="B226" s="2">
        <v>45658</v>
      </c>
      <c r="C226" t="s">
        <v>15</v>
      </c>
      <c r="D226" t="s">
        <v>28</v>
      </c>
      <c r="E226" s="3">
        <v>641564.6</v>
      </c>
      <c r="F226" s="3">
        <f>Multiple_Model!$B$13+Multiple_Model!$B$14*Dummy_Variables!E226+Multiple_Model!$B$15*Dummy_Variables!F226+Multiple_Model!$B$16*Dummy_Variables!G226+Multiple_Model!$B$17*Dummy_Variables!I226+Multiple_Model!$B$18*Dummy_Variables!L226+Multiple_Model!$B$19*Dummy_Variables!H226+Multiple_Model!$B$20*Dummy_Variables!K226+Multiple_Model!$B$21*Dummy_Variables!J226+Multiple_Model!$B$22*Dummy_Variables!O226+Multiple_Model!$B$23*Dummy_Variables!P226+Multiple_Model!$B$24*Dummy_Variables!Q226+Multiple_Model!$B$25*Dummy_Variables!R226+Multiple_Model!$B$26*Dummy_Variables!S226+Multiple_Model!$B$27*Dummy_Variables!T226</f>
        <v>621915.36844343762</v>
      </c>
      <c r="G226" s="3">
        <f>E226-F226</f>
        <v>19649.231556562358</v>
      </c>
      <c r="H226" s="3">
        <f>ABS(G226)</f>
        <v>19649.231556562358</v>
      </c>
      <c r="I226" t="str">
        <f>IF(G226&gt;0,"Under-predicted","Over-predicted")</f>
        <v>Under-predicted</v>
      </c>
    </row>
    <row r="227" spans="1:9">
      <c r="A227" t="s">
        <v>78</v>
      </c>
      <c r="B227" s="2">
        <v>45689</v>
      </c>
      <c r="C227" t="s">
        <v>15</v>
      </c>
      <c r="D227" t="s">
        <v>28</v>
      </c>
      <c r="E227" s="3">
        <v>536545.49</v>
      </c>
      <c r="F227" s="3">
        <f>Multiple_Model!$B$13+Multiple_Model!$B$14*Dummy_Variables!E227+Multiple_Model!$B$15*Dummy_Variables!F227+Multiple_Model!$B$16*Dummy_Variables!G227+Multiple_Model!$B$17*Dummy_Variables!I227+Multiple_Model!$B$18*Dummy_Variables!L227+Multiple_Model!$B$19*Dummy_Variables!H227+Multiple_Model!$B$20*Dummy_Variables!K227+Multiple_Model!$B$21*Dummy_Variables!J227+Multiple_Model!$B$22*Dummy_Variables!O227+Multiple_Model!$B$23*Dummy_Variables!P227+Multiple_Model!$B$24*Dummy_Variables!Q227+Multiple_Model!$B$25*Dummy_Variables!R227+Multiple_Model!$B$26*Dummy_Variables!S227+Multiple_Model!$B$27*Dummy_Variables!T227</f>
        <v>519090.66987326107</v>
      </c>
      <c r="G227" s="3">
        <f>E227-F227</f>
        <v>17454.820126738923</v>
      </c>
      <c r="H227" s="3">
        <f>ABS(G227)</f>
        <v>17454.820126738923</v>
      </c>
      <c r="I227" t="str">
        <f>IF(G227&gt;0,"Under-predicted","Over-predicted")</f>
        <v>Under-predicted</v>
      </c>
    </row>
    <row r="228" spans="1:9">
      <c r="A228" t="s">
        <v>78</v>
      </c>
      <c r="B228" s="2">
        <v>45717</v>
      </c>
      <c r="C228" t="s">
        <v>15</v>
      </c>
      <c r="D228" t="s">
        <v>28</v>
      </c>
      <c r="E228" s="3">
        <v>527681.56000000006</v>
      </c>
      <c r="F228" s="3">
        <f>Multiple_Model!$B$13+Multiple_Model!$B$14*Dummy_Variables!E228+Multiple_Model!$B$15*Dummy_Variables!F228+Multiple_Model!$B$16*Dummy_Variables!G228+Multiple_Model!$B$17*Dummy_Variables!I228+Multiple_Model!$B$18*Dummy_Variables!L228+Multiple_Model!$B$19*Dummy_Variables!H228+Multiple_Model!$B$20*Dummy_Variables!K228+Multiple_Model!$B$21*Dummy_Variables!J228+Multiple_Model!$B$22*Dummy_Variables!O228+Multiple_Model!$B$23*Dummy_Variables!P228+Multiple_Model!$B$24*Dummy_Variables!Q228+Multiple_Model!$B$25*Dummy_Variables!R228+Multiple_Model!$B$26*Dummy_Variables!S228+Multiple_Model!$B$27*Dummy_Variables!T228</f>
        <v>509786.93240444077</v>
      </c>
      <c r="G228" s="3">
        <f>E228-F228</f>
        <v>17894.627595559286</v>
      </c>
      <c r="H228" s="3">
        <f>ABS(G228)</f>
        <v>17894.627595559286</v>
      </c>
      <c r="I228" t="str">
        <f>IF(G228&gt;0,"Under-predicted","Over-predicted")</f>
        <v>Under-predicted</v>
      </c>
    </row>
    <row r="229" spans="1:9">
      <c r="A229" t="s">
        <v>78</v>
      </c>
      <c r="B229" s="2">
        <v>45748</v>
      </c>
      <c r="C229" t="s">
        <v>15</v>
      </c>
      <c r="D229" t="s">
        <v>28</v>
      </c>
      <c r="E229" s="3">
        <v>529598.93999999994</v>
      </c>
      <c r="F229" s="3">
        <f>Multiple_Model!$B$13+Multiple_Model!$B$14*Dummy_Variables!E229+Multiple_Model!$B$15*Dummy_Variables!F229+Multiple_Model!$B$16*Dummy_Variables!G229+Multiple_Model!$B$17*Dummy_Variables!I229+Multiple_Model!$B$18*Dummy_Variables!L229+Multiple_Model!$B$19*Dummy_Variables!H229+Multiple_Model!$B$20*Dummy_Variables!K229+Multiple_Model!$B$21*Dummy_Variables!J229+Multiple_Model!$B$22*Dummy_Variables!O229+Multiple_Model!$B$23*Dummy_Variables!P229+Multiple_Model!$B$24*Dummy_Variables!Q229+Multiple_Model!$B$25*Dummy_Variables!R229+Multiple_Model!$B$26*Dummy_Variables!S229+Multiple_Model!$B$27*Dummy_Variables!T229</f>
        <v>494757.03778218606</v>
      </c>
      <c r="G229" s="3">
        <f>E229-F229</f>
        <v>34841.902217813884</v>
      </c>
      <c r="H229" s="3">
        <f>ABS(G229)</f>
        <v>34841.902217813884</v>
      </c>
      <c r="I229" t="str">
        <f>IF(G229&gt;0,"Under-predicted","Over-predicted")</f>
        <v>Under-predicted</v>
      </c>
    </row>
    <row r="230" spans="1:9">
      <c r="A230" t="s">
        <v>79</v>
      </c>
      <c r="B230" s="2">
        <v>45658</v>
      </c>
      <c r="C230" t="s">
        <v>15</v>
      </c>
      <c r="D230" t="s">
        <v>18</v>
      </c>
      <c r="E230" s="3">
        <v>570963.31000000006</v>
      </c>
      <c r="F230" s="3">
        <f>Multiple_Model!$B$13+Multiple_Model!$B$14*Dummy_Variables!E230+Multiple_Model!$B$15*Dummy_Variables!F230+Multiple_Model!$B$16*Dummy_Variables!G230+Multiple_Model!$B$17*Dummy_Variables!I230+Multiple_Model!$B$18*Dummy_Variables!L230+Multiple_Model!$B$19*Dummy_Variables!H230+Multiple_Model!$B$20*Dummy_Variables!K230+Multiple_Model!$B$21*Dummy_Variables!J230+Multiple_Model!$B$22*Dummy_Variables!O230+Multiple_Model!$B$23*Dummy_Variables!P230+Multiple_Model!$B$24*Dummy_Variables!Q230+Multiple_Model!$B$25*Dummy_Variables!R230+Multiple_Model!$B$26*Dummy_Variables!S230+Multiple_Model!$B$27*Dummy_Variables!T230</f>
        <v>618324.91388172249</v>
      </c>
      <c r="G230" s="3">
        <f>E230-F230</f>
        <v>-47361.603881722433</v>
      </c>
      <c r="H230" s="3">
        <f>ABS(G230)</f>
        <v>47361.603881722433</v>
      </c>
      <c r="I230" t="str">
        <f>IF(G230&gt;0,"Under-predicted","Over-predicted")</f>
        <v>Over-predicted</v>
      </c>
    </row>
    <row r="231" spans="1:9">
      <c r="A231" t="s">
        <v>79</v>
      </c>
      <c r="B231" s="2">
        <v>45689</v>
      </c>
      <c r="C231" t="s">
        <v>15</v>
      </c>
      <c r="D231" t="s">
        <v>18</v>
      </c>
      <c r="E231" s="3">
        <v>870937.4</v>
      </c>
      <c r="F231" s="3">
        <f>Multiple_Model!$B$13+Multiple_Model!$B$14*Dummy_Variables!E231+Multiple_Model!$B$15*Dummy_Variables!F231+Multiple_Model!$B$16*Dummy_Variables!G231+Multiple_Model!$B$17*Dummy_Variables!I231+Multiple_Model!$B$18*Dummy_Variables!L231+Multiple_Model!$B$19*Dummy_Variables!H231+Multiple_Model!$B$20*Dummy_Variables!K231+Multiple_Model!$B$21*Dummy_Variables!J231+Multiple_Model!$B$22*Dummy_Variables!O231+Multiple_Model!$B$23*Dummy_Variables!P231+Multiple_Model!$B$24*Dummy_Variables!Q231+Multiple_Model!$B$25*Dummy_Variables!R231+Multiple_Model!$B$26*Dummy_Variables!S231+Multiple_Model!$B$27*Dummy_Variables!T231</f>
        <v>759919.93939551071</v>
      </c>
      <c r="G231" s="3">
        <f>E231-F231</f>
        <v>111017.46060448932</v>
      </c>
      <c r="H231" s="3">
        <f>ABS(G231)</f>
        <v>111017.46060448932</v>
      </c>
      <c r="I231" t="str">
        <f>IF(G231&gt;0,"Under-predicted","Over-predicted")</f>
        <v>Under-predicted</v>
      </c>
    </row>
    <row r="232" spans="1:9">
      <c r="A232" t="s">
        <v>79</v>
      </c>
      <c r="B232" s="2">
        <v>45717</v>
      </c>
      <c r="C232" t="s">
        <v>15</v>
      </c>
      <c r="D232" t="s">
        <v>18</v>
      </c>
      <c r="E232" s="3">
        <v>596969.27</v>
      </c>
      <c r="F232" s="3">
        <f>Multiple_Model!$B$13+Multiple_Model!$B$14*Dummy_Variables!E232+Multiple_Model!$B$15*Dummy_Variables!F232+Multiple_Model!$B$16*Dummy_Variables!G232+Multiple_Model!$B$17*Dummy_Variables!I232+Multiple_Model!$B$18*Dummy_Variables!L232+Multiple_Model!$B$19*Dummy_Variables!H232+Multiple_Model!$B$20*Dummy_Variables!K232+Multiple_Model!$B$21*Dummy_Variables!J232+Multiple_Model!$B$22*Dummy_Variables!O232+Multiple_Model!$B$23*Dummy_Variables!P232+Multiple_Model!$B$24*Dummy_Variables!Q232+Multiple_Model!$B$25*Dummy_Variables!R232+Multiple_Model!$B$26*Dummy_Variables!S232+Multiple_Model!$B$27*Dummy_Variables!T232</f>
        <v>625263.64632713096</v>
      </c>
      <c r="G232" s="3">
        <f>E232-F232</f>
        <v>-28294.376327130944</v>
      </c>
      <c r="H232" s="3">
        <f>ABS(G232)</f>
        <v>28294.376327130944</v>
      </c>
      <c r="I232" t="str">
        <f>IF(G232&gt;0,"Under-predicted","Over-predicted")</f>
        <v>Over-predicted</v>
      </c>
    </row>
    <row r="233" spans="1:9">
      <c r="A233" t="s">
        <v>79</v>
      </c>
      <c r="B233" s="2">
        <v>45748</v>
      </c>
      <c r="C233" t="s">
        <v>15</v>
      </c>
      <c r="D233" t="s">
        <v>18</v>
      </c>
      <c r="E233" s="3">
        <v>647512.85</v>
      </c>
      <c r="F233" s="3">
        <f>Multiple_Model!$B$13+Multiple_Model!$B$14*Dummy_Variables!E233+Multiple_Model!$B$15*Dummy_Variables!F233+Multiple_Model!$B$16*Dummy_Variables!G233+Multiple_Model!$B$17*Dummy_Variables!I233+Multiple_Model!$B$18*Dummy_Variables!L233+Multiple_Model!$B$19*Dummy_Variables!H233+Multiple_Model!$B$20*Dummy_Variables!K233+Multiple_Model!$B$21*Dummy_Variables!J233+Multiple_Model!$B$22*Dummy_Variables!O233+Multiple_Model!$B$23*Dummy_Variables!P233+Multiple_Model!$B$24*Dummy_Variables!Q233+Multiple_Model!$B$25*Dummy_Variables!R233+Multiple_Model!$B$26*Dummy_Variables!S233+Multiple_Model!$B$27*Dummy_Variables!T233</f>
        <v>607697.98054916807</v>
      </c>
      <c r="G233" s="3">
        <f>E233-F233</f>
        <v>39814.869450831902</v>
      </c>
      <c r="H233" s="3">
        <f>ABS(G233)</f>
        <v>39814.869450831902</v>
      </c>
      <c r="I233" t="str">
        <f>IF(G233&gt;0,"Under-predicted","Over-predicted")</f>
        <v>Under-predicted</v>
      </c>
    </row>
    <row r="234" spans="1:9">
      <c r="A234" t="s">
        <v>80</v>
      </c>
      <c r="B234" s="2">
        <v>45658</v>
      </c>
      <c r="C234" t="s">
        <v>27</v>
      </c>
      <c r="D234" t="s">
        <v>16</v>
      </c>
      <c r="E234" s="3">
        <v>658072.14</v>
      </c>
      <c r="F234" s="3">
        <f>Multiple_Model!$B$13+Multiple_Model!$B$14*Dummy_Variables!E234+Multiple_Model!$B$15*Dummy_Variables!F234+Multiple_Model!$B$16*Dummy_Variables!G234+Multiple_Model!$B$17*Dummy_Variables!I234+Multiple_Model!$B$18*Dummy_Variables!L234+Multiple_Model!$B$19*Dummy_Variables!H234+Multiple_Model!$B$20*Dummy_Variables!K234+Multiple_Model!$B$21*Dummy_Variables!J234+Multiple_Model!$B$22*Dummy_Variables!O234+Multiple_Model!$B$23*Dummy_Variables!P234+Multiple_Model!$B$24*Dummy_Variables!Q234+Multiple_Model!$B$25*Dummy_Variables!R234+Multiple_Model!$B$26*Dummy_Variables!S234+Multiple_Model!$B$27*Dummy_Variables!T234</f>
        <v>626096.69260059996</v>
      </c>
      <c r="G234" s="3">
        <f>E234-F234</f>
        <v>31975.447399400058</v>
      </c>
      <c r="H234" s="3">
        <f>ABS(G234)</f>
        <v>31975.447399400058</v>
      </c>
      <c r="I234" t="str">
        <f>IF(G234&gt;0,"Under-predicted","Over-predicted")</f>
        <v>Under-predicted</v>
      </c>
    </row>
    <row r="235" spans="1:9">
      <c r="A235" t="s">
        <v>80</v>
      </c>
      <c r="B235" s="2">
        <v>45689</v>
      </c>
      <c r="C235" t="s">
        <v>27</v>
      </c>
      <c r="D235" t="s">
        <v>16</v>
      </c>
      <c r="E235" s="3">
        <v>723305.11</v>
      </c>
      <c r="F235" s="3">
        <f>Multiple_Model!$B$13+Multiple_Model!$B$14*Dummy_Variables!E235+Multiple_Model!$B$15*Dummy_Variables!F235+Multiple_Model!$B$16*Dummy_Variables!G235+Multiple_Model!$B$17*Dummy_Variables!I235+Multiple_Model!$B$18*Dummy_Variables!L235+Multiple_Model!$B$19*Dummy_Variables!H235+Multiple_Model!$B$20*Dummy_Variables!K235+Multiple_Model!$B$21*Dummy_Variables!J235+Multiple_Model!$B$22*Dummy_Variables!O235+Multiple_Model!$B$23*Dummy_Variables!P235+Multiple_Model!$B$24*Dummy_Variables!Q235+Multiple_Model!$B$25*Dummy_Variables!R235+Multiple_Model!$B$26*Dummy_Variables!S235+Multiple_Model!$B$27*Dummy_Variables!T235</f>
        <v>657274.39078353508</v>
      </c>
      <c r="G235" s="3">
        <f>E235-F235</f>
        <v>66030.719216464902</v>
      </c>
      <c r="H235" s="3">
        <f>ABS(G235)</f>
        <v>66030.719216464902</v>
      </c>
      <c r="I235" t="str">
        <f>IF(G235&gt;0,"Under-predicted","Over-predicted")</f>
        <v>Under-predicted</v>
      </c>
    </row>
    <row r="236" spans="1:9">
      <c r="A236" t="s">
        <v>80</v>
      </c>
      <c r="B236" s="2">
        <v>45717</v>
      </c>
      <c r="C236" t="s">
        <v>27</v>
      </c>
      <c r="D236" t="s">
        <v>16</v>
      </c>
      <c r="E236" s="3">
        <v>640666.53</v>
      </c>
      <c r="F236" s="3">
        <f>Multiple_Model!$B$13+Multiple_Model!$B$14*Dummy_Variables!E236+Multiple_Model!$B$15*Dummy_Variables!F236+Multiple_Model!$B$16*Dummy_Variables!G236+Multiple_Model!$B$17*Dummy_Variables!I236+Multiple_Model!$B$18*Dummy_Variables!L236+Multiple_Model!$B$19*Dummy_Variables!H236+Multiple_Model!$B$20*Dummy_Variables!K236+Multiple_Model!$B$21*Dummy_Variables!J236+Multiple_Model!$B$22*Dummy_Variables!O236+Multiple_Model!$B$23*Dummy_Variables!P236+Multiple_Model!$B$24*Dummy_Variables!Q236+Multiple_Model!$B$25*Dummy_Variables!R236+Multiple_Model!$B$26*Dummy_Variables!S236+Multiple_Model!$B$27*Dummy_Variables!T236</f>
        <v>646490.21323896723</v>
      </c>
      <c r="G236" s="3">
        <f>E236-F236</f>
        <v>-5823.6832389672054</v>
      </c>
      <c r="H236" s="3">
        <f>ABS(G236)</f>
        <v>5823.6832389672054</v>
      </c>
      <c r="I236" t="str">
        <f>IF(G236&gt;0,"Under-predicted","Over-predicted")</f>
        <v>Over-predicted</v>
      </c>
    </row>
    <row r="237" spans="1:9">
      <c r="A237" t="s">
        <v>80</v>
      </c>
      <c r="B237" s="2">
        <v>45748</v>
      </c>
      <c r="C237" t="s">
        <v>27</v>
      </c>
      <c r="D237" t="s">
        <v>16</v>
      </c>
      <c r="E237" s="3">
        <v>670629.48</v>
      </c>
      <c r="F237" s="3">
        <f>Multiple_Model!$B$13+Multiple_Model!$B$14*Dummy_Variables!E237+Multiple_Model!$B$15*Dummy_Variables!F237+Multiple_Model!$B$16*Dummy_Variables!G237+Multiple_Model!$B$17*Dummy_Variables!I237+Multiple_Model!$B$18*Dummy_Variables!L237+Multiple_Model!$B$19*Dummy_Variables!H237+Multiple_Model!$B$20*Dummy_Variables!K237+Multiple_Model!$B$21*Dummy_Variables!J237+Multiple_Model!$B$22*Dummy_Variables!O237+Multiple_Model!$B$23*Dummy_Variables!P237+Multiple_Model!$B$24*Dummy_Variables!Q237+Multiple_Model!$B$25*Dummy_Variables!R237+Multiple_Model!$B$26*Dummy_Variables!S237+Multiple_Model!$B$27*Dummy_Variables!T237</f>
        <v>671537.78061020875</v>
      </c>
      <c r="G237" s="3">
        <f>E237-F237</f>
        <v>-908.30061020876747</v>
      </c>
      <c r="H237" s="3">
        <f>ABS(G237)</f>
        <v>908.30061020876747</v>
      </c>
      <c r="I237" t="str">
        <f>IF(G237&gt;0,"Under-predicted","Over-predicted")</f>
        <v>Over-predicted</v>
      </c>
    </row>
    <row r="238" spans="1:9">
      <c r="A238" t="s">
        <v>81</v>
      </c>
      <c r="B238" s="2">
        <v>45658</v>
      </c>
      <c r="C238" t="s">
        <v>27</v>
      </c>
      <c r="D238" t="s">
        <v>28</v>
      </c>
      <c r="E238" s="3">
        <v>721079.35</v>
      </c>
      <c r="F238" s="3">
        <f>Multiple_Model!$B$13+Multiple_Model!$B$14*Dummy_Variables!E238+Multiple_Model!$B$15*Dummy_Variables!F238+Multiple_Model!$B$16*Dummy_Variables!G238+Multiple_Model!$B$17*Dummy_Variables!I238+Multiple_Model!$B$18*Dummy_Variables!L238+Multiple_Model!$B$19*Dummy_Variables!H238+Multiple_Model!$B$20*Dummy_Variables!K238+Multiple_Model!$B$21*Dummy_Variables!J238+Multiple_Model!$B$22*Dummy_Variables!O238+Multiple_Model!$B$23*Dummy_Variables!P238+Multiple_Model!$B$24*Dummy_Variables!Q238+Multiple_Model!$B$25*Dummy_Variables!R238+Multiple_Model!$B$26*Dummy_Variables!S238+Multiple_Model!$B$27*Dummy_Variables!T238</f>
        <v>808021.70934979664</v>
      </c>
      <c r="G238" s="3">
        <f>E238-F238</f>
        <v>-86942.359349796665</v>
      </c>
      <c r="H238" s="3">
        <f>ABS(G238)</f>
        <v>86942.359349796665</v>
      </c>
      <c r="I238" t="str">
        <f>IF(G238&gt;0,"Under-predicted","Over-predicted")</f>
        <v>Over-predicted</v>
      </c>
    </row>
    <row r="239" spans="1:9">
      <c r="A239" t="s">
        <v>81</v>
      </c>
      <c r="B239" s="2">
        <v>45689</v>
      </c>
      <c r="C239" t="s">
        <v>27</v>
      </c>
      <c r="D239" t="s">
        <v>28</v>
      </c>
      <c r="E239" s="3">
        <v>810355.02</v>
      </c>
      <c r="F239" s="3">
        <f>Multiple_Model!$B$13+Multiple_Model!$B$14*Dummy_Variables!E239+Multiple_Model!$B$15*Dummy_Variables!F239+Multiple_Model!$B$16*Dummy_Variables!G239+Multiple_Model!$B$17*Dummy_Variables!I239+Multiple_Model!$B$18*Dummy_Variables!L239+Multiple_Model!$B$19*Dummy_Variables!H239+Multiple_Model!$B$20*Dummy_Variables!K239+Multiple_Model!$B$21*Dummy_Variables!J239+Multiple_Model!$B$22*Dummy_Variables!O239+Multiple_Model!$B$23*Dummy_Variables!P239+Multiple_Model!$B$24*Dummy_Variables!Q239+Multiple_Model!$B$25*Dummy_Variables!R239+Multiple_Model!$B$26*Dummy_Variables!S239+Multiple_Model!$B$27*Dummy_Variables!T239</f>
        <v>795627.01077537437</v>
      </c>
      <c r="G239" s="3">
        <f>E239-F239</f>
        <v>14728.009224625654</v>
      </c>
      <c r="H239" s="3">
        <f>ABS(G239)</f>
        <v>14728.009224625654</v>
      </c>
      <c r="I239" t="str">
        <f>IF(G239&gt;0,"Under-predicted","Over-predicted")</f>
        <v>Under-predicted</v>
      </c>
    </row>
    <row r="240" spans="1:9">
      <c r="A240" t="s">
        <v>81</v>
      </c>
      <c r="B240" s="2">
        <v>45717</v>
      </c>
      <c r="C240" t="s">
        <v>27</v>
      </c>
      <c r="D240" t="s">
        <v>28</v>
      </c>
      <c r="E240" s="3">
        <v>761919.25</v>
      </c>
      <c r="F240" s="3">
        <f>Multiple_Model!$B$13+Multiple_Model!$B$14*Dummy_Variables!E240+Multiple_Model!$B$15*Dummy_Variables!F240+Multiple_Model!$B$16*Dummy_Variables!G240+Multiple_Model!$B$17*Dummy_Variables!I240+Multiple_Model!$B$18*Dummy_Variables!L240+Multiple_Model!$B$19*Dummy_Variables!H240+Multiple_Model!$B$20*Dummy_Variables!K240+Multiple_Model!$B$21*Dummy_Variables!J240+Multiple_Model!$B$22*Dummy_Variables!O240+Multiple_Model!$B$23*Dummy_Variables!P240+Multiple_Model!$B$24*Dummy_Variables!Q240+Multiple_Model!$B$25*Dummy_Variables!R240+Multiple_Model!$B$26*Dummy_Variables!S240+Multiple_Model!$B$27*Dummy_Variables!T240</f>
        <v>772659.68683775328</v>
      </c>
      <c r="G240" s="3">
        <f>E240-F240</f>
        <v>-10740.436837753281</v>
      </c>
      <c r="H240" s="3">
        <f>ABS(G240)</f>
        <v>10740.436837753281</v>
      </c>
      <c r="I240" t="str">
        <f>IF(G240&gt;0,"Under-predicted","Over-predicted")</f>
        <v>Over-predicted</v>
      </c>
    </row>
    <row r="241" spans="1:9">
      <c r="A241" t="s">
        <v>81</v>
      </c>
      <c r="B241" s="2">
        <v>45748</v>
      </c>
      <c r="C241" t="s">
        <v>27</v>
      </c>
      <c r="D241" t="s">
        <v>28</v>
      </c>
      <c r="E241" s="3">
        <v>737070.18</v>
      </c>
      <c r="F241" s="3">
        <f>Multiple_Model!$B$13+Multiple_Model!$B$14*Dummy_Variables!E241+Multiple_Model!$B$15*Dummy_Variables!F241+Multiple_Model!$B$16*Dummy_Variables!G241+Multiple_Model!$B$17*Dummy_Variables!I241+Multiple_Model!$B$18*Dummy_Variables!L241+Multiple_Model!$B$19*Dummy_Variables!H241+Multiple_Model!$B$20*Dummy_Variables!K241+Multiple_Model!$B$21*Dummy_Variables!J241+Multiple_Model!$B$22*Dummy_Variables!O241+Multiple_Model!$B$23*Dummy_Variables!P241+Multiple_Model!$B$24*Dummy_Variables!Q241+Multiple_Model!$B$25*Dummy_Variables!R241+Multiple_Model!$B$26*Dummy_Variables!S241+Multiple_Model!$B$27*Dummy_Variables!T241</f>
        <v>733825.28641022264</v>
      </c>
      <c r="G241" s="3">
        <f>E241-F241</f>
        <v>3244.8935897774063</v>
      </c>
      <c r="H241" s="3">
        <f>ABS(G241)</f>
        <v>3244.8935897774063</v>
      </c>
      <c r="I241" t="str">
        <f>IF(G241&gt;0,"Under-predicted","Over-predicted")</f>
        <v>Under-predicted</v>
      </c>
    </row>
    <row r="242" spans="1:9">
      <c r="A242" t="s">
        <v>82</v>
      </c>
      <c r="B242" s="2">
        <v>45658</v>
      </c>
      <c r="C242" t="s">
        <v>24</v>
      </c>
      <c r="D242" t="s">
        <v>21</v>
      </c>
      <c r="E242" s="3">
        <v>776992.93</v>
      </c>
      <c r="F242" s="3">
        <f>Multiple_Model!$B$13+Multiple_Model!$B$14*Dummy_Variables!E242+Multiple_Model!$B$15*Dummy_Variables!F242+Multiple_Model!$B$16*Dummy_Variables!G242+Multiple_Model!$B$17*Dummy_Variables!I242+Multiple_Model!$B$18*Dummy_Variables!L242+Multiple_Model!$B$19*Dummy_Variables!H242+Multiple_Model!$B$20*Dummy_Variables!K242+Multiple_Model!$B$21*Dummy_Variables!J242+Multiple_Model!$B$22*Dummy_Variables!O242+Multiple_Model!$B$23*Dummy_Variables!P242+Multiple_Model!$B$24*Dummy_Variables!Q242+Multiple_Model!$B$25*Dummy_Variables!R242+Multiple_Model!$B$26*Dummy_Variables!S242+Multiple_Model!$B$27*Dummy_Variables!T242</f>
        <v>754612.29642929416</v>
      </c>
      <c r="G242" s="3">
        <f>E242-F242</f>
        <v>22380.63357070589</v>
      </c>
      <c r="H242" s="3">
        <f>ABS(G242)</f>
        <v>22380.63357070589</v>
      </c>
      <c r="I242" t="str">
        <f>IF(G242&gt;0,"Under-predicted","Over-predicted")</f>
        <v>Under-predicted</v>
      </c>
    </row>
    <row r="243" spans="1:9">
      <c r="A243" t="s">
        <v>82</v>
      </c>
      <c r="B243" s="2">
        <v>45689</v>
      </c>
      <c r="C243" t="s">
        <v>24</v>
      </c>
      <c r="D243" t="s">
        <v>21</v>
      </c>
      <c r="E243" s="3">
        <v>676337.41</v>
      </c>
      <c r="F243" s="3">
        <f>Multiple_Model!$B$13+Multiple_Model!$B$14*Dummy_Variables!E243+Multiple_Model!$B$15*Dummy_Variables!F243+Multiple_Model!$B$16*Dummy_Variables!G243+Multiple_Model!$B$17*Dummy_Variables!I243+Multiple_Model!$B$18*Dummy_Variables!L243+Multiple_Model!$B$19*Dummy_Variables!H243+Multiple_Model!$B$20*Dummy_Variables!K243+Multiple_Model!$B$21*Dummy_Variables!J243+Multiple_Model!$B$22*Dummy_Variables!O243+Multiple_Model!$B$23*Dummy_Variables!P243+Multiple_Model!$B$24*Dummy_Variables!Q243+Multiple_Model!$B$25*Dummy_Variables!R243+Multiple_Model!$B$26*Dummy_Variables!S243+Multiple_Model!$B$27*Dummy_Variables!T243</f>
        <v>661845.44575534633</v>
      </c>
      <c r="G243" s="3">
        <f>E243-F243</f>
        <v>14491.964244653704</v>
      </c>
      <c r="H243" s="3">
        <f>ABS(G243)</f>
        <v>14491.964244653704</v>
      </c>
      <c r="I243" t="str">
        <f>IF(G243&gt;0,"Under-predicted","Over-predicted")</f>
        <v>Under-predicted</v>
      </c>
    </row>
    <row r="244" spans="1:9">
      <c r="A244" t="s">
        <v>82</v>
      </c>
      <c r="B244" s="2">
        <v>45717</v>
      </c>
      <c r="C244" t="s">
        <v>24</v>
      </c>
      <c r="D244" t="s">
        <v>21</v>
      </c>
      <c r="E244" s="3">
        <v>828219.67</v>
      </c>
      <c r="F244" s="3">
        <f>Multiple_Model!$B$13+Multiple_Model!$B$14*Dummy_Variables!E244+Multiple_Model!$B$15*Dummy_Variables!F244+Multiple_Model!$B$16*Dummy_Variables!G244+Multiple_Model!$B$17*Dummy_Variables!I244+Multiple_Model!$B$18*Dummy_Variables!L244+Multiple_Model!$B$19*Dummy_Variables!H244+Multiple_Model!$B$20*Dummy_Variables!K244+Multiple_Model!$B$21*Dummy_Variables!J244+Multiple_Model!$B$22*Dummy_Variables!O244+Multiple_Model!$B$23*Dummy_Variables!P244+Multiple_Model!$B$24*Dummy_Variables!Q244+Multiple_Model!$B$25*Dummy_Variables!R244+Multiple_Model!$B$26*Dummy_Variables!S244+Multiple_Model!$B$27*Dummy_Variables!T244</f>
        <v>843472.61751832499</v>
      </c>
      <c r="G244" s="3">
        <f>E244-F244</f>
        <v>-15252.947518324945</v>
      </c>
      <c r="H244" s="3">
        <f>ABS(G244)</f>
        <v>15252.947518324945</v>
      </c>
      <c r="I244" t="str">
        <f>IF(G244&gt;0,"Under-predicted","Over-predicted")</f>
        <v>Over-predicted</v>
      </c>
    </row>
    <row r="245" spans="1:9">
      <c r="A245" t="s">
        <v>82</v>
      </c>
      <c r="B245" s="2">
        <v>45748</v>
      </c>
      <c r="C245" t="s">
        <v>24</v>
      </c>
      <c r="D245" t="s">
        <v>21</v>
      </c>
      <c r="E245" s="3">
        <v>763159.92</v>
      </c>
      <c r="F245" s="3">
        <f>Multiple_Model!$B$13+Multiple_Model!$B$14*Dummy_Variables!E245+Multiple_Model!$B$15*Dummy_Variables!F245+Multiple_Model!$B$16*Dummy_Variables!G245+Multiple_Model!$B$17*Dummy_Variables!I245+Multiple_Model!$B$18*Dummy_Variables!L245+Multiple_Model!$B$19*Dummy_Variables!H245+Multiple_Model!$B$20*Dummy_Variables!K245+Multiple_Model!$B$21*Dummy_Variables!J245+Multiple_Model!$B$22*Dummy_Variables!O245+Multiple_Model!$B$23*Dummy_Variables!P245+Multiple_Model!$B$24*Dummy_Variables!Q245+Multiple_Model!$B$25*Dummy_Variables!R245+Multiple_Model!$B$26*Dummy_Variables!S245+Multiple_Model!$B$27*Dummy_Variables!T245</f>
        <v>783992.1964635913</v>
      </c>
      <c r="G245" s="3">
        <f>E245-F245</f>
        <v>-20832.276463591261</v>
      </c>
      <c r="H245" s="3">
        <f>ABS(G245)</f>
        <v>20832.276463591261</v>
      </c>
      <c r="I245" t="str">
        <f>IF(G245&gt;0,"Under-predicted","Over-predicted")</f>
        <v>Over-predicted</v>
      </c>
    </row>
    <row r="246" spans="1:9">
      <c r="A246" t="s">
        <v>83</v>
      </c>
      <c r="B246" s="2">
        <v>45658</v>
      </c>
      <c r="C246" t="s">
        <v>15</v>
      </c>
      <c r="D246" t="s">
        <v>18</v>
      </c>
      <c r="E246" s="3">
        <v>802001.68</v>
      </c>
      <c r="F246" s="3">
        <f>Multiple_Model!$B$13+Multiple_Model!$B$14*Dummy_Variables!E246+Multiple_Model!$B$15*Dummy_Variables!F246+Multiple_Model!$B$16*Dummy_Variables!G246+Multiple_Model!$B$17*Dummy_Variables!I246+Multiple_Model!$B$18*Dummy_Variables!L246+Multiple_Model!$B$19*Dummy_Variables!H246+Multiple_Model!$B$20*Dummy_Variables!K246+Multiple_Model!$B$21*Dummy_Variables!J246+Multiple_Model!$B$22*Dummy_Variables!O246+Multiple_Model!$B$23*Dummy_Variables!P246+Multiple_Model!$B$24*Dummy_Variables!Q246+Multiple_Model!$B$25*Dummy_Variables!R246+Multiple_Model!$B$26*Dummy_Variables!S246+Multiple_Model!$B$27*Dummy_Variables!T246</f>
        <v>781288.2020055172</v>
      </c>
      <c r="G246" s="3">
        <f>E246-F246</f>
        <v>20713.477994482848</v>
      </c>
      <c r="H246" s="3">
        <f>ABS(G246)</f>
        <v>20713.477994482848</v>
      </c>
      <c r="I246" t="str">
        <f>IF(G246&gt;0,"Under-predicted","Over-predicted")</f>
        <v>Under-predicted</v>
      </c>
    </row>
    <row r="247" spans="1:9">
      <c r="A247" t="s">
        <v>83</v>
      </c>
      <c r="B247" s="2">
        <v>45689</v>
      </c>
      <c r="C247" t="s">
        <v>15</v>
      </c>
      <c r="D247" t="s">
        <v>18</v>
      </c>
      <c r="E247" s="3">
        <v>750471.34</v>
      </c>
      <c r="F247" s="3">
        <f>Multiple_Model!$B$13+Multiple_Model!$B$14*Dummy_Variables!E247+Multiple_Model!$B$15*Dummy_Variables!F247+Multiple_Model!$B$16*Dummy_Variables!G247+Multiple_Model!$B$17*Dummy_Variables!I247+Multiple_Model!$B$18*Dummy_Variables!L247+Multiple_Model!$B$19*Dummy_Variables!H247+Multiple_Model!$B$20*Dummy_Variables!K247+Multiple_Model!$B$21*Dummy_Variables!J247+Multiple_Model!$B$22*Dummy_Variables!O247+Multiple_Model!$B$23*Dummy_Variables!P247+Multiple_Model!$B$24*Dummy_Variables!Q247+Multiple_Model!$B$25*Dummy_Variables!R247+Multiple_Model!$B$26*Dummy_Variables!S247+Multiple_Model!$B$27*Dummy_Variables!T247</f>
        <v>743962.77553410013</v>
      </c>
      <c r="G247" s="3">
        <f>E247-F247</f>
        <v>6508.5644658998353</v>
      </c>
      <c r="H247" s="3">
        <f>ABS(G247)</f>
        <v>6508.5644658998353</v>
      </c>
      <c r="I247" t="str">
        <f>IF(G247&gt;0,"Under-predicted","Over-predicted")</f>
        <v>Under-predicted</v>
      </c>
    </row>
    <row r="248" spans="1:9">
      <c r="A248" t="s">
        <v>83</v>
      </c>
      <c r="B248" s="2">
        <v>45717</v>
      </c>
      <c r="C248" t="s">
        <v>15</v>
      </c>
      <c r="D248" t="s">
        <v>18</v>
      </c>
      <c r="E248" s="3">
        <v>679230.86</v>
      </c>
      <c r="F248" s="3">
        <f>Multiple_Model!$B$13+Multiple_Model!$B$14*Dummy_Variables!E248+Multiple_Model!$B$15*Dummy_Variables!F248+Multiple_Model!$B$16*Dummy_Variables!G248+Multiple_Model!$B$17*Dummy_Variables!I248+Multiple_Model!$B$18*Dummy_Variables!L248+Multiple_Model!$B$19*Dummy_Variables!H248+Multiple_Model!$B$20*Dummy_Variables!K248+Multiple_Model!$B$21*Dummy_Variables!J248+Multiple_Model!$B$22*Dummy_Variables!O248+Multiple_Model!$B$23*Dummy_Variables!P248+Multiple_Model!$B$24*Dummy_Variables!Q248+Multiple_Model!$B$25*Dummy_Variables!R248+Multiple_Model!$B$26*Dummy_Variables!S248+Multiple_Model!$B$27*Dummy_Variables!T248</f>
        <v>717076.18806876719</v>
      </c>
      <c r="G248" s="3">
        <f>E248-F248</f>
        <v>-37845.328068767209</v>
      </c>
      <c r="H248" s="3">
        <f>ABS(G248)</f>
        <v>37845.328068767209</v>
      </c>
      <c r="I248" t="str">
        <f>IF(G248&gt;0,"Under-predicted","Over-predicted")</f>
        <v>Over-predicted</v>
      </c>
    </row>
    <row r="249" spans="1:9">
      <c r="A249" t="s">
        <v>83</v>
      </c>
      <c r="B249" s="2">
        <v>45748</v>
      </c>
      <c r="C249" t="s">
        <v>15</v>
      </c>
      <c r="D249" t="s">
        <v>18</v>
      </c>
      <c r="E249" s="3">
        <v>679888.74</v>
      </c>
      <c r="F249" s="3">
        <f>Multiple_Model!$B$13+Multiple_Model!$B$14*Dummy_Variables!E249+Multiple_Model!$B$15*Dummy_Variables!F249+Multiple_Model!$B$16*Dummy_Variables!G249+Multiple_Model!$B$17*Dummy_Variables!I249+Multiple_Model!$B$18*Dummy_Variables!L249+Multiple_Model!$B$19*Dummy_Variables!H249+Multiple_Model!$B$20*Dummy_Variables!K249+Multiple_Model!$B$21*Dummy_Variables!J249+Multiple_Model!$B$22*Dummy_Variables!O249+Multiple_Model!$B$23*Dummy_Variables!P249+Multiple_Model!$B$24*Dummy_Variables!Q249+Multiple_Model!$B$25*Dummy_Variables!R249+Multiple_Model!$B$26*Dummy_Variables!S249+Multiple_Model!$B$27*Dummy_Variables!T249</f>
        <v>682909.14974432893</v>
      </c>
      <c r="G249" s="3">
        <f>E249-F249</f>
        <v>-3020.4097443289356</v>
      </c>
      <c r="H249" s="3">
        <f>ABS(G249)</f>
        <v>3020.4097443289356</v>
      </c>
      <c r="I249" t="str">
        <f>IF(G249&gt;0,"Under-predicted","Over-predicted")</f>
        <v>Over-predicted</v>
      </c>
    </row>
    <row r="250" spans="1:9">
      <c r="A250" t="s">
        <v>84</v>
      </c>
      <c r="B250" s="2">
        <v>45658</v>
      </c>
      <c r="C250" t="s">
        <v>20</v>
      </c>
      <c r="D250" t="s">
        <v>18</v>
      </c>
      <c r="E250" s="3">
        <v>606783.67000000004</v>
      </c>
      <c r="F250" s="3">
        <f>Multiple_Model!$B$13+Multiple_Model!$B$14*Dummy_Variables!E250+Multiple_Model!$B$15*Dummy_Variables!F250+Multiple_Model!$B$16*Dummy_Variables!G250+Multiple_Model!$B$17*Dummy_Variables!I250+Multiple_Model!$B$18*Dummy_Variables!L250+Multiple_Model!$B$19*Dummy_Variables!H250+Multiple_Model!$B$20*Dummy_Variables!K250+Multiple_Model!$B$21*Dummy_Variables!J250+Multiple_Model!$B$22*Dummy_Variables!O250+Multiple_Model!$B$23*Dummy_Variables!P250+Multiple_Model!$B$24*Dummy_Variables!Q250+Multiple_Model!$B$25*Dummy_Variables!R250+Multiple_Model!$B$26*Dummy_Variables!S250+Multiple_Model!$B$27*Dummy_Variables!T250</f>
        <v>586377.13952504669</v>
      </c>
      <c r="G250" s="3">
        <f>E250-F250</f>
        <v>20406.530474953353</v>
      </c>
      <c r="H250" s="3">
        <f>ABS(G250)</f>
        <v>20406.530474953353</v>
      </c>
      <c r="I250" t="str">
        <f>IF(G250&gt;0,"Under-predicted","Over-predicted")</f>
        <v>Under-predicted</v>
      </c>
    </row>
    <row r="251" spans="1:9">
      <c r="A251" t="s">
        <v>84</v>
      </c>
      <c r="B251" s="2">
        <v>45689</v>
      </c>
      <c r="C251" t="s">
        <v>20</v>
      </c>
      <c r="D251" t="s">
        <v>18</v>
      </c>
      <c r="E251" s="3">
        <v>642751.42000000004</v>
      </c>
      <c r="F251" s="3">
        <f>Multiple_Model!$B$13+Multiple_Model!$B$14*Dummy_Variables!E251+Multiple_Model!$B$15*Dummy_Variables!F251+Multiple_Model!$B$16*Dummy_Variables!G251+Multiple_Model!$B$17*Dummy_Variables!I251+Multiple_Model!$B$18*Dummy_Variables!L251+Multiple_Model!$B$19*Dummy_Variables!H251+Multiple_Model!$B$20*Dummy_Variables!K251+Multiple_Model!$B$21*Dummy_Variables!J251+Multiple_Model!$B$22*Dummy_Variables!O251+Multiple_Model!$B$23*Dummy_Variables!P251+Multiple_Model!$B$24*Dummy_Variables!Q251+Multiple_Model!$B$25*Dummy_Variables!R251+Multiple_Model!$B$26*Dummy_Variables!S251+Multiple_Model!$B$27*Dummy_Variables!T251</f>
        <v>654187.33166820428</v>
      </c>
      <c r="G251" s="3">
        <f>E251-F251</f>
        <v>-11435.911668204237</v>
      </c>
      <c r="H251" s="3">
        <f>ABS(G251)</f>
        <v>11435.911668204237</v>
      </c>
      <c r="I251" t="str">
        <f>IF(G251&gt;0,"Under-predicted","Over-predicted")</f>
        <v>Over-predicted</v>
      </c>
    </row>
    <row r="252" spans="1:9">
      <c r="A252" t="s">
        <v>84</v>
      </c>
      <c r="B252" s="2">
        <v>45717</v>
      </c>
      <c r="C252" t="s">
        <v>20</v>
      </c>
      <c r="D252" t="s">
        <v>18</v>
      </c>
      <c r="E252" s="3">
        <v>647953.78</v>
      </c>
      <c r="F252" s="3">
        <f>Multiple_Model!$B$13+Multiple_Model!$B$14*Dummy_Variables!E252+Multiple_Model!$B$15*Dummy_Variables!F252+Multiple_Model!$B$16*Dummy_Variables!G252+Multiple_Model!$B$17*Dummy_Variables!I252+Multiple_Model!$B$18*Dummy_Variables!L252+Multiple_Model!$B$19*Dummy_Variables!H252+Multiple_Model!$B$20*Dummy_Variables!K252+Multiple_Model!$B$21*Dummy_Variables!J252+Multiple_Model!$B$22*Dummy_Variables!O252+Multiple_Model!$B$23*Dummy_Variables!P252+Multiple_Model!$B$24*Dummy_Variables!Q252+Multiple_Model!$B$25*Dummy_Variables!R252+Multiple_Model!$B$26*Dummy_Variables!S252+Multiple_Model!$B$27*Dummy_Variables!T252</f>
        <v>650276.85114936985</v>
      </c>
      <c r="G252" s="3">
        <f>E252-F252</f>
        <v>-2323.0711493698182</v>
      </c>
      <c r="H252" s="3">
        <f>ABS(G252)</f>
        <v>2323.0711493698182</v>
      </c>
      <c r="I252" t="str">
        <f>IF(G252&gt;0,"Under-predicted","Over-predicted")</f>
        <v>Over-predicted</v>
      </c>
    </row>
    <row r="253" spans="1:9">
      <c r="A253" t="s">
        <v>84</v>
      </c>
      <c r="B253" s="2">
        <v>45748</v>
      </c>
      <c r="C253" t="s">
        <v>20</v>
      </c>
      <c r="D253" t="s">
        <v>18</v>
      </c>
      <c r="E253" s="3">
        <v>729440.45</v>
      </c>
      <c r="F253" s="3">
        <f>Multiple_Model!$B$13+Multiple_Model!$B$14*Dummy_Variables!E253+Multiple_Model!$B$15*Dummy_Variables!F253+Multiple_Model!$B$16*Dummy_Variables!G253+Multiple_Model!$B$17*Dummy_Variables!I253+Multiple_Model!$B$18*Dummy_Variables!L253+Multiple_Model!$B$19*Dummy_Variables!H253+Multiple_Model!$B$20*Dummy_Variables!K253+Multiple_Model!$B$21*Dummy_Variables!J253+Multiple_Model!$B$22*Dummy_Variables!O253+Multiple_Model!$B$23*Dummy_Variables!P253+Multiple_Model!$B$24*Dummy_Variables!Q253+Multiple_Model!$B$25*Dummy_Variables!R253+Multiple_Model!$B$26*Dummy_Variables!S253+Multiple_Model!$B$27*Dummy_Variables!T253</f>
        <v>710891.45312601491</v>
      </c>
      <c r="G253" s="3">
        <f>E253-F253</f>
        <v>18548.996873985045</v>
      </c>
      <c r="H253" s="3">
        <f>ABS(G253)</f>
        <v>18548.996873985045</v>
      </c>
      <c r="I253" t="str">
        <f>IF(G253&gt;0,"Under-predicted","Over-predicted")</f>
        <v>Under-predicted</v>
      </c>
    </row>
    <row r="254" spans="1:9">
      <c r="A254" t="s">
        <v>85</v>
      </c>
      <c r="B254" s="2">
        <v>45658</v>
      </c>
      <c r="C254" t="s">
        <v>24</v>
      </c>
      <c r="D254" t="s">
        <v>21</v>
      </c>
      <c r="E254" s="3">
        <v>764949</v>
      </c>
      <c r="F254" s="3">
        <f>Multiple_Model!$B$13+Multiple_Model!$B$14*Dummy_Variables!E254+Multiple_Model!$B$15*Dummy_Variables!F254+Multiple_Model!$B$16*Dummy_Variables!G254+Multiple_Model!$B$17*Dummy_Variables!I254+Multiple_Model!$B$18*Dummy_Variables!L254+Multiple_Model!$B$19*Dummy_Variables!H254+Multiple_Model!$B$20*Dummy_Variables!K254+Multiple_Model!$B$21*Dummy_Variables!J254+Multiple_Model!$B$22*Dummy_Variables!O254+Multiple_Model!$B$23*Dummy_Variables!P254+Multiple_Model!$B$24*Dummy_Variables!Q254+Multiple_Model!$B$25*Dummy_Variables!R254+Multiple_Model!$B$26*Dummy_Variables!S254+Multiple_Model!$B$27*Dummy_Variables!T254</f>
        <v>762493.61717080208</v>
      </c>
      <c r="G254" s="3">
        <f>E254-F254</f>
        <v>2455.3828291979153</v>
      </c>
      <c r="H254" s="3">
        <f>ABS(G254)</f>
        <v>2455.3828291979153</v>
      </c>
      <c r="I254" t="str">
        <f>IF(G254&gt;0,"Under-predicted","Over-predicted")</f>
        <v>Under-predicted</v>
      </c>
    </row>
    <row r="255" spans="1:9">
      <c r="A255" t="s">
        <v>85</v>
      </c>
      <c r="B255" s="2">
        <v>45689</v>
      </c>
      <c r="C255" t="s">
        <v>24</v>
      </c>
      <c r="D255" t="s">
        <v>21</v>
      </c>
      <c r="E255" s="3">
        <v>799046.94</v>
      </c>
      <c r="F255" s="3">
        <f>Multiple_Model!$B$13+Multiple_Model!$B$14*Dummy_Variables!E255+Multiple_Model!$B$15*Dummy_Variables!F255+Multiple_Model!$B$16*Dummy_Variables!G255+Multiple_Model!$B$17*Dummy_Variables!I255+Multiple_Model!$B$18*Dummy_Variables!L255+Multiple_Model!$B$19*Dummy_Variables!H255+Multiple_Model!$B$20*Dummy_Variables!K255+Multiple_Model!$B$21*Dummy_Variables!J255+Multiple_Model!$B$22*Dummy_Variables!O255+Multiple_Model!$B$23*Dummy_Variables!P255+Multiple_Model!$B$24*Dummy_Variables!Q255+Multiple_Model!$B$25*Dummy_Variables!R255+Multiple_Model!$B$26*Dummy_Variables!S255+Multiple_Model!$B$27*Dummy_Variables!T255</f>
        <v>723603.52688189608</v>
      </c>
      <c r="G255" s="3">
        <f>E255-F255</f>
        <v>75443.413118103868</v>
      </c>
      <c r="H255" s="3">
        <f>ABS(G255)</f>
        <v>75443.413118103868</v>
      </c>
      <c r="I255" t="str">
        <f>IF(G255&gt;0,"Under-predicted","Over-predicted")</f>
        <v>Under-predicted</v>
      </c>
    </row>
    <row r="256" spans="1:9">
      <c r="A256" t="s">
        <v>85</v>
      </c>
      <c r="B256" s="2">
        <v>45717</v>
      </c>
      <c r="C256" t="s">
        <v>24</v>
      </c>
      <c r="D256" t="s">
        <v>21</v>
      </c>
      <c r="E256" s="3">
        <v>720079.54</v>
      </c>
      <c r="F256" s="3">
        <f>Multiple_Model!$B$13+Multiple_Model!$B$14*Dummy_Variables!E256+Multiple_Model!$B$15*Dummy_Variables!F256+Multiple_Model!$B$16*Dummy_Variables!G256+Multiple_Model!$B$17*Dummy_Variables!I256+Multiple_Model!$B$18*Dummy_Variables!L256+Multiple_Model!$B$19*Dummy_Variables!H256+Multiple_Model!$B$20*Dummy_Variables!K256+Multiple_Model!$B$21*Dummy_Variables!J256+Multiple_Model!$B$22*Dummy_Variables!O256+Multiple_Model!$B$23*Dummy_Variables!P256+Multiple_Model!$B$24*Dummy_Variables!Q256+Multiple_Model!$B$25*Dummy_Variables!R256+Multiple_Model!$B$26*Dummy_Variables!S256+Multiple_Model!$B$27*Dummy_Variables!T256</f>
        <v>707346.38584534521</v>
      </c>
      <c r="G256" s="3">
        <f>E256-F256</f>
        <v>12733.154154654825</v>
      </c>
      <c r="H256" s="3">
        <f>ABS(G256)</f>
        <v>12733.154154654825</v>
      </c>
      <c r="I256" t="str">
        <f>IF(G256&gt;0,"Under-predicted","Over-predicted")</f>
        <v>Under-predicted</v>
      </c>
    </row>
    <row r="257" spans="1:9">
      <c r="A257" t="s">
        <v>85</v>
      </c>
      <c r="B257" s="2">
        <v>45748</v>
      </c>
      <c r="C257" t="s">
        <v>24</v>
      </c>
      <c r="D257" t="s">
        <v>21</v>
      </c>
      <c r="E257" s="3">
        <v>612390.14</v>
      </c>
      <c r="F257" s="3">
        <f>Multiple_Model!$B$13+Multiple_Model!$B$14*Dummy_Variables!E257+Multiple_Model!$B$15*Dummy_Variables!F257+Multiple_Model!$B$16*Dummy_Variables!G257+Multiple_Model!$B$17*Dummy_Variables!I257+Multiple_Model!$B$18*Dummy_Variables!L257+Multiple_Model!$B$19*Dummy_Variables!H257+Multiple_Model!$B$20*Dummy_Variables!K257+Multiple_Model!$B$21*Dummy_Variables!J257+Multiple_Model!$B$22*Dummy_Variables!O257+Multiple_Model!$B$23*Dummy_Variables!P257+Multiple_Model!$B$24*Dummy_Variables!Q257+Multiple_Model!$B$25*Dummy_Variables!R257+Multiple_Model!$B$26*Dummy_Variables!S257+Multiple_Model!$B$27*Dummy_Variables!T257</f>
        <v>676430.74497133936</v>
      </c>
      <c r="G257" s="3">
        <f>E257-F257</f>
        <v>-64040.604971339344</v>
      </c>
      <c r="H257" s="3">
        <f>ABS(G257)</f>
        <v>64040.604971339344</v>
      </c>
      <c r="I257" t="str">
        <f>IF(G257&gt;0,"Under-predicted","Over-predicted")</f>
        <v>Over-predicted</v>
      </c>
    </row>
    <row r="258" spans="1:9">
      <c r="A258" t="s">
        <v>86</v>
      </c>
      <c r="B258" s="2">
        <v>45658</v>
      </c>
      <c r="C258" t="s">
        <v>24</v>
      </c>
      <c r="D258" t="s">
        <v>28</v>
      </c>
      <c r="E258" s="3">
        <v>840108.12</v>
      </c>
      <c r="F258" s="3">
        <f>Multiple_Model!$B$13+Multiple_Model!$B$14*Dummy_Variables!E258+Multiple_Model!$B$15*Dummy_Variables!F258+Multiple_Model!$B$16*Dummy_Variables!G258+Multiple_Model!$B$17*Dummy_Variables!I258+Multiple_Model!$B$18*Dummy_Variables!L258+Multiple_Model!$B$19*Dummy_Variables!H258+Multiple_Model!$B$20*Dummy_Variables!K258+Multiple_Model!$B$21*Dummy_Variables!J258+Multiple_Model!$B$22*Dummy_Variables!O258+Multiple_Model!$B$23*Dummy_Variables!P258+Multiple_Model!$B$24*Dummy_Variables!Q258+Multiple_Model!$B$25*Dummy_Variables!R258+Multiple_Model!$B$26*Dummy_Variables!S258+Multiple_Model!$B$27*Dummy_Variables!T258</f>
        <v>795755.85569238034</v>
      </c>
      <c r="G258" s="3">
        <f>E258-F258</f>
        <v>44352.264307619655</v>
      </c>
      <c r="H258" s="3">
        <f>ABS(G258)</f>
        <v>44352.264307619655</v>
      </c>
      <c r="I258" t="str">
        <f>IF(G258&gt;0,"Under-predicted","Over-predicted")</f>
        <v>Under-predicted</v>
      </c>
    </row>
    <row r="259" spans="1:9">
      <c r="A259" t="s">
        <v>86</v>
      </c>
      <c r="B259" s="2">
        <v>45689</v>
      </c>
      <c r="C259" t="s">
        <v>24</v>
      </c>
      <c r="D259" t="s">
        <v>28</v>
      </c>
      <c r="E259" s="3">
        <v>697888.09</v>
      </c>
      <c r="F259" s="3">
        <f>Multiple_Model!$B$13+Multiple_Model!$B$14*Dummy_Variables!E259+Multiple_Model!$B$15*Dummy_Variables!F259+Multiple_Model!$B$16*Dummy_Variables!G259+Multiple_Model!$B$17*Dummy_Variables!I259+Multiple_Model!$B$18*Dummy_Variables!L259+Multiple_Model!$B$19*Dummy_Variables!H259+Multiple_Model!$B$20*Dummy_Variables!K259+Multiple_Model!$B$21*Dummy_Variables!J259+Multiple_Model!$B$22*Dummy_Variables!O259+Multiple_Model!$B$23*Dummy_Variables!P259+Multiple_Model!$B$24*Dummy_Variables!Q259+Multiple_Model!$B$25*Dummy_Variables!R259+Multiple_Model!$B$26*Dummy_Variables!S259+Multiple_Model!$B$27*Dummy_Variables!T259</f>
        <v>700605.74097020167</v>
      </c>
      <c r="G259" s="3">
        <f>E259-F259</f>
        <v>-2717.6509702017065</v>
      </c>
      <c r="H259" s="3">
        <f>ABS(G259)</f>
        <v>2717.6509702017065</v>
      </c>
      <c r="I259" t="str">
        <f>IF(G259&gt;0,"Under-predicted","Over-predicted")</f>
        <v>Over-predicted</v>
      </c>
    </row>
    <row r="260" spans="1:9">
      <c r="A260" t="s">
        <v>86</v>
      </c>
      <c r="B260" s="2">
        <v>45717</v>
      </c>
      <c r="C260" t="s">
        <v>24</v>
      </c>
      <c r="D260" t="s">
        <v>28</v>
      </c>
      <c r="E260" s="3">
        <v>746115.59</v>
      </c>
      <c r="F260" s="3">
        <f>Multiple_Model!$B$13+Multiple_Model!$B$14*Dummy_Variables!E260+Multiple_Model!$B$15*Dummy_Variables!F260+Multiple_Model!$B$16*Dummy_Variables!G260+Multiple_Model!$B$17*Dummy_Variables!I260+Multiple_Model!$B$18*Dummy_Variables!L260+Multiple_Model!$B$19*Dummy_Variables!H260+Multiple_Model!$B$20*Dummy_Variables!K260+Multiple_Model!$B$21*Dummy_Variables!J260+Multiple_Model!$B$22*Dummy_Variables!O260+Multiple_Model!$B$23*Dummy_Variables!P260+Multiple_Model!$B$24*Dummy_Variables!Q260+Multiple_Model!$B$25*Dummy_Variables!R260+Multiple_Model!$B$26*Dummy_Variables!S260+Multiple_Model!$B$27*Dummy_Variables!T260</f>
        <v>756093.34212780371</v>
      </c>
      <c r="G260" s="3">
        <f>E260-F260</f>
        <v>-9977.7521278037457</v>
      </c>
      <c r="H260" s="3">
        <f>ABS(G260)</f>
        <v>9977.7521278037457</v>
      </c>
      <c r="I260" t="str">
        <f>IF(G260&gt;0,"Under-predicted","Over-predicted")</f>
        <v>Over-predicted</v>
      </c>
    </row>
    <row r="261" spans="1:9">
      <c r="A261" t="s">
        <v>86</v>
      </c>
      <c r="B261" s="2">
        <v>45748</v>
      </c>
      <c r="C261" t="s">
        <v>24</v>
      </c>
      <c r="D261" t="s">
        <v>28</v>
      </c>
      <c r="E261" s="3">
        <v>776110.32</v>
      </c>
      <c r="F261" s="3">
        <f>Multiple_Model!$B$13+Multiple_Model!$B$14*Dummy_Variables!E261+Multiple_Model!$B$15*Dummy_Variables!F261+Multiple_Model!$B$16*Dummy_Variables!G261+Multiple_Model!$B$17*Dummy_Variables!I261+Multiple_Model!$B$18*Dummy_Variables!L261+Multiple_Model!$B$19*Dummy_Variables!H261+Multiple_Model!$B$20*Dummy_Variables!K261+Multiple_Model!$B$21*Dummy_Variables!J261+Multiple_Model!$B$22*Dummy_Variables!O261+Multiple_Model!$B$23*Dummy_Variables!P261+Multiple_Model!$B$24*Dummy_Variables!Q261+Multiple_Model!$B$25*Dummy_Variables!R261+Multiple_Model!$B$26*Dummy_Variables!S261+Multiple_Model!$B$27*Dummy_Variables!T261</f>
        <v>750711.68126272899</v>
      </c>
      <c r="G261" s="3">
        <f>E261-F261</f>
        <v>25398.638737270958</v>
      </c>
      <c r="H261" s="3">
        <f>ABS(G261)</f>
        <v>25398.638737270958</v>
      </c>
      <c r="I261" t="str">
        <f>IF(G261&gt;0,"Under-predicted","Over-predicted")</f>
        <v>Under-predicted</v>
      </c>
    </row>
    <row r="262" spans="1:9">
      <c r="A262" t="s">
        <v>87</v>
      </c>
      <c r="B262" s="2">
        <v>45658</v>
      </c>
      <c r="C262" t="s">
        <v>27</v>
      </c>
      <c r="D262" t="s">
        <v>18</v>
      </c>
      <c r="E262" s="3">
        <v>528852.62</v>
      </c>
      <c r="F262" s="3">
        <f>Multiple_Model!$B$13+Multiple_Model!$B$14*Dummy_Variables!E262+Multiple_Model!$B$15*Dummy_Variables!F262+Multiple_Model!$B$16*Dummy_Variables!G262+Multiple_Model!$B$17*Dummy_Variables!I262+Multiple_Model!$B$18*Dummy_Variables!L262+Multiple_Model!$B$19*Dummy_Variables!H262+Multiple_Model!$B$20*Dummy_Variables!K262+Multiple_Model!$B$21*Dummy_Variables!J262+Multiple_Model!$B$22*Dummy_Variables!O262+Multiple_Model!$B$23*Dummy_Variables!P262+Multiple_Model!$B$24*Dummy_Variables!Q262+Multiple_Model!$B$25*Dummy_Variables!R262+Multiple_Model!$B$26*Dummy_Variables!S262+Multiple_Model!$B$27*Dummy_Variables!T262</f>
        <v>523808.73149147246</v>
      </c>
      <c r="G262" s="3">
        <f>E262-F262</f>
        <v>5043.8885085275397</v>
      </c>
      <c r="H262" s="3">
        <f>ABS(G262)</f>
        <v>5043.8885085275397</v>
      </c>
      <c r="I262" t="str">
        <f>IF(G262&gt;0,"Under-predicted","Over-predicted")</f>
        <v>Under-predicted</v>
      </c>
    </row>
    <row r="263" spans="1:9">
      <c r="A263" t="s">
        <v>87</v>
      </c>
      <c r="B263" s="2">
        <v>45689</v>
      </c>
      <c r="C263" t="s">
        <v>27</v>
      </c>
      <c r="D263" t="s">
        <v>18</v>
      </c>
      <c r="E263" s="3">
        <v>605751.32999999996</v>
      </c>
      <c r="F263" s="3">
        <f>Multiple_Model!$B$13+Multiple_Model!$B$14*Dummy_Variables!E263+Multiple_Model!$B$15*Dummy_Variables!F263+Multiple_Model!$B$16*Dummy_Variables!G263+Multiple_Model!$B$17*Dummy_Variables!I263+Multiple_Model!$B$18*Dummy_Variables!L263+Multiple_Model!$B$19*Dummy_Variables!H263+Multiple_Model!$B$20*Dummy_Variables!K263+Multiple_Model!$B$21*Dummy_Variables!J263+Multiple_Model!$B$22*Dummy_Variables!O263+Multiple_Model!$B$23*Dummy_Variables!P263+Multiple_Model!$B$24*Dummy_Variables!Q263+Multiple_Model!$B$25*Dummy_Variables!R263+Multiple_Model!$B$26*Dummy_Variables!S263+Multiple_Model!$B$27*Dummy_Variables!T263</f>
        <v>617199.93361311068</v>
      </c>
      <c r="G263" s="3">
        <f>E263-F263</f>
        <v>-11448.603613110725</v>
      </c>
      <c r="H263" s="3">
        <f>ABS(G263)</f>
        <v>11448.603613110725</v>
      </c>
      <c r="I263" t="str">
        <f>IF(G263&gt;0,"Under-predicted","Over-predicted")</f>
        <v>Over-predicted</v>
      </c>
    </row>
    <row r="264" spans="1:9">
      <c r="A264" t="s">
        <v>87</v>
      </c>
      <c r="B264" s="2">
        <v>45717</v>
      </c>
      <c r="C264" t="s">
        <v>27</v>
      </c>
      <c r="D264" t="s">
        <v>18</v>
      </c>
      <c r="E264" s="3">
        <v>677640.65</v>
      </c>
      <c r="F264" s="3">
        <f>Multiple_Model!$B$13+Multiple_Model!$B$14*Dummy_Variables!E264+Multiple_Model!$B$15*Dummy_Variables!F264+Multiple_Model!$B$16*Dummy_Variables!G264+Multiple_Model!$B$17*Dummy_Variables!I264+Multiple_Model!$B$18*Dummy_Variables!L264+Multiple_Model!$B$19*Dummy_Variables!H264+Multiple_Model!$B$20*Dummy_Variables!K264+Multiple_Model!$B$21*Dummy_Variables!J264+Multiple_Model!$B$22*Dummy_Variables!O264+Multiple_Model!$B$23*Dummy_Variables!P264+Multiple_Model!$B$24*Dummy_Variables!Q264+Multiple_Model!$B$25*Dummy_Variables!R264+Multiple_Model!$B$26*Dummy_Variables!S264+Multiple_Model!$B$27*Dummy_Variables!T264</f>
        <v>618646.04028269823</v>
      </c>
      <c r="G264" s="3">
        <f>E264-F264</f>
        <v>58994.609717301792</v>
      </c>
      <c r="H264" s="3">
        <f>ABS(G264)</f>
        <v>58994.609717301792</v>
      </c>
      <c r="I264" t="str">
        <f>IF(G264&gt;0,"Under-predicted","Over-predicted")</f>
        <v>Under-predicted</v>
      </c>
    </row>
    <row r="265" spans="1:9">
      <c r="A265" t="s">
        <v>87</v>
      </c>
      <c r="B265" s="2">
        <v>45748</v>
      </c>
      <c r="C265" t="s">
        <v>27</v>
      </c>
      <c r="D265" t="s">
        <v>18</v>
      </c>
      <c r="E265" s="3">
        <v>636613.23</v>
      </c>
      <c r="F265" s="3">
        <f>Multiple_Model!$B$13+Multiple_Model!$B$14*Dummy_Variables!E265+Multiple_Model!$B$15*Dummy_Variables!F265+Multiple_Model!$B$16*Dummy_Variables!G265+Multiple_Model!$B$17*Dummy_Variables!I265+Multiple_Model!$B$18*Dummy_Variables!L265+Multiple_Model!$B$19*Dummy_Variables!H265+Multiple_Model!$B$20*Dummy_Variables!K265+Multiple_Model!$B$21*Dummy_Variables!J265+Multiple_Model!$B$22*Dummy_Variables!O265+Multiple_Model!$B$23*Dummy_Variables!P265+Multiple_Model!$B$24*Dummy_Variables!Q265+Multiple_Model!$B$25*Dummy_Variables!R265+Multiple_Model!$B$26*Dummy_Variables!S265+Multiple_Model!$B$27*Dummy_Variables!T265</f>
        <v>594259.94856180879</v>
      </c>
      <c r="G265" s="3">
        <f>E265-F265</f>
        <v>42353.281438191188</v>
      </c>
      <c r="H265" s="3">
        <f>ABS(G265)</f>
        <v>42353.281438191188</v>
      </c>
      <c r="I265" t="str">
        <f>IF(G265&gt;0,"Under-predicted","Over-predicted")</f>
        <v>Under-predicted</v>
      </c>
    </row>
    <row r="266" spans="1:9">
      <c r="A266" t="s">
        <v>88</v>
      </c>
      <c r="B266" s="2">
        <v>45658</v>
      </c>
      <c r="C266" t="s">
        <v>15</v>
      </c>
      <c r="D266" t="s">
        <v>18</v>
      </c>
      <c r="E266" s="3">
        <v>708985.19</v>
      </c>
      <c r="F266" s="3">
        <f>Multiple_Model!$B$13+Multiple_Model!$B$14*Dummy_Variables!E266+Multiple_Model!$B$15*Dummy_Variables!F266+Multiple_Model!$B$16*Dummy_Variables!G266+Multiple_Model!$B$17*Dummy_Variables!I266+Multiple_Model!$B$18*Dummy_Variables!L266+Multiple_Model!$B$19*Dummy_Variables!H266+Multiple_Model!$B$20*Dummy_Variables!K266+Multiple_Model!$B$21*Dummy_Variables!J266+Multiple_Model!$B$22*Dummy_Variables!O266+Multiple_Model!$B$23*Dummy_Variables!P266+Multiple_Model!$B$24*Dummy_Variables!Q266+Multiple_Model!$B$25*Dummy_Variables!R266+Multiple_Model!$B$26*Dummy_Variables!S266+Multiple_Model!$B$27*Dummy_Variables!T266</f>
        <v>717590.43077221024</v>
      </c>
      <c r="G266" s="3">
        <f>E266-F266</f>
        <v>-8605.2407722102944</v>
      </c>
      <c r="H266" s="3">
        <f>ABS(G266)</f>
        <v>8605.2407722102944</v>
      </c>
      <c r="I266" t="str">
        <f>IF(G266&gt;0,"Under-predicted","Over-predicted")</f>
        <v>Over-predicted</v>
      </c>
    </row>
    <row r="267" spans="1:9">
      <c r="A267" t="s">
        <v>88</v>
      </c>
      <c r="B267" s="2">
        <v>45689</v>
      </c>
      <c r="C267" t="s">
        <v>15</v>
      </c>
      <c r="D267" t="s">
        <v>18</v>
      </c>
      <c r="E267" s="3">
        <v>767792.94</v>
      </c>
      <c r="F267" s="3">
        <f>Multiple_Model!$B$13+Multiple_Model!$B$14*Dummy_Variables!E267+Multiple_Model!$B$15*Dummy_Variables!F267+Multiple_Model!$B$16*Dummy_Variables!G267+Multiple_Model!$B$17*Dummy_Variables!I267+Multiple_Model!$B$18*Dummy_Variables!L267+Multiple_Model!$B$19*Dummy_Variables!H267+Multiple_Model!$B$20*Dummy_Variables!K267+Multiple_Model!$B$21*Dummy_Variables!J267+Multiple_Model!$B$22*Dummy_Variables!O267+Multiple_Model!$B$23*Dummy_Variables!P267+Multiple_Model!$B$24*Dummy_Variables!Q267+Multiple_Model!$B$25*Dummy_Variables!R267+Multiple_Model!$B$26*Dummy_Variables!S267+Multiple_Model!$B$27*Dummy_Variables!T267</f>
        <v>738559.44462288509</v>
      </c>
      <c r="G267" s="3">
        <f>E267-F267</f>
        <v>29233.495377114858</v>
      </c>
      <c r="H267" s="3">
        <f>ABS(G267)</f>
        <v>29233.495377114858</v>
      </c>
      <c r="I267" t="str">
        <f>IF(G267&gt;0,"Under-predicted","Over-predicted")</f>
        <v>Under-predicted</v>
      </c>
    </row>
    <row r="268" spans="1:9">
      <c r="A268" t="s">
        <v>88</v>
      </c>
      <c r="B268" s="2">
        <v>45717</v>
      </c>
      <c r="C268" t="s">
        <v>15</v>
      </c>
      <c r="D268" t="s">
        <v>18</v>
      </c>
      <c r="E268" s="3">
        <v>745580.51</v>
      </c>
      <c r="F268" s="3">
        <f>Multiple_Model!$B$13+Multiple_Model!$B$14*Dummy_Variables!E268+Multiple_Model!$B$15*Dummy_Variables!F268+Multiple_Model!$B$16*Dummy_Variables!G268+Multiple_Model!$B$17*Dummy_Variables!I268+Multiple_Model!$B$18*Dummy_Variables!L268+Multiple_Model!$B$19*Dummy_Variables!H268+Multiple_Model!$B$20*Dummy_Variables!K268+Multiple_Model!$B$21*Dummy_Variables!J268+Multiple_Model!$B$22*Dummy_Variables!O268+Multiple_Model!$B$23*Dummy_Variables!P268+Multiple_Model!$B$24*Dummy_Variables!Q268+Multiple_Model!$B$25*Dummy_Variables!R268+Multiple_Model!$B$26*Dummy_Variables!S268+Multiple_Model!$B$27*Dummy_Variables!T268</f>
        <v>723777.76932843251</v>
      </c>
      <c r="G268" s="3">
        <f>E268-F268</f>
        <v>21802.740671567502</v>
      </c>
      <c r="H268" s="3">
        <f>ABS(G268)</f>
        <v>21802.740671567502</v>
      </c>
      <c r="I268" t="str">
        <f>IF(G268&gt;0,"Under-predicted","Over-predicted")</f>
        <v>Under-predicted</v>
      </c>
    </row>
    <row r="269" spans="1:9">
      <c r="A269" t="s">
        <v>88</v>
      </c>
      <c r="B269" s="2">
        <v>45748</v>
      </c>
      <c r="C269" t="s">
        <v>15</v>
      </c>
      <c r="D269" t="s">
        <v>18</v>
      </c>
      <c r="E269" s="3">
        <v>762328.31</v>
      </c>
      <c r="F269" s="3">
        <f>Multiple_Model!$B$13+Multiple_Model!$B$14*Dummy_Variables!E269+Multiple_Model!$B$15*Dummy_Variables!F269+Multiple_Model!$B$16*Dummy_Variables!G269+Multiple_Model!$B$17*Dummy_Variables!I269+Multiple_Model!$B$18*Dummy_Variables!L269+Multiple_Model!$B$19*Dummy_Variables!H269+Multiple_Model!$B$20*Dummy_Variables!K269+Multiple_Model!$B$21*Dummy_Variables!J269+Multiple_Model!$B$22*Dummy_Variables!O269+Multiple_Model!$B$23*Dummy_Variables!P269+Multiple_Model!$B$24*Dummy_Variables!Q269+Multiple_Model!$B$25*Dummy_Variables!R269+Multiple_Model!$B$26*Dummy_Variables!S269+Multiple_Model!$B$27*Dummy_Variables!T269</f>
        <v>720515.55215502868</v>
      </c>
      <c r="G269" s="3">
        <f>E269-F269</f>
        <v>41812.757844971376</v>
      </c>
      <c r="H269" s="3">
        <f>ABS(G269)</f>
        <v>41812.757844971376</v>
      </c>
      <c r="I269" t="str">
        <f>IF(G269&gt;0,"Under-predicted","Over-predicted")</f>
        <v>Under-predicted</v>
      </c>
    </row>
    <row r="270" spans="1:9">
      <c r="A270" t="s">
        <v>89</v>
      </c>
      <c r="B270" s="2">
        <v>45658</v>
      </c>
      <c r="C270" t="s">
        <v>15</v>
      </c>
      <c r="D270" t="s">
        <v>28</v>
      </c>
      <c r="E270" s="3">
        <v>660633.99</v>
      </c>
      <c r="F270" s="3">
        <f>Multiple_Model!$B$13+Multiple_Model!$B$14*Dummy_Variables!E270+Multiple_Model!$B$15*Dummy_Variables!F270+Multiple_Model!$B$16*Dummy_Variables!G270+Multiple_Model!$B$17*Dummy_Variables!I270+Multiple_Model!$B$18*Dummy_Variables!L270+Multiple_Model!$B$19*Dummy_Variables!H270+Multiple_Model!$B$20*Dummy_Variables!K270+Multiple_Model!$B$21*Dummy_Variables!J270+Multiple_Model!$B$22*Dummy_Variables!O270+Multiple_Model!$B$23*Dummy_Variables!P270+Multiple_Model!$B$24*Dummy_Variables!Q270+Multiple_Model!$B$25*Dummy_Variables!R270+Multiple_Model!$B$26*Dummy_Variables!S270+Multiple_Model!$B$27*Dummy_Variables!T270</f>
        <v>738721.15065490431</v>
      </c>
      <c r="G270" s="3">
        <f>E270-F270</f>
        <v>-78087.160654904321</v>
      </c>
      <c r="H270" s="3">
        <f>ABS(G270)</f>
        <v>78087.160654904321</v>
      </c>
      <c r="I270" t="str">
        <f>IF(G270&gt;0,"Under-predicted","Over-predicted")</f>
        <v>Over-predicted</v>
      </c>
    </row>
    <row r="271" spans="1:9">
      <c r="A271" t="s">
        <v>89</v>
      </c>
      <c r="B271" s="2">
        <v>45689</v>
      </c>
      <c r="C271" t="s">
        <v>15</v>
      </c>
      <c r="D271" t="s">
        <v>28</v>
      </c>
      <c r="E271" s="3">
        <v>739374.56</v>
      </c>
      <c r="F271" s="3">
        <f>Multiple_Model!$B$13+Multiple_Model!$B$14*Dummy_Variables!E271+Multiple_Model!$B$15*Dummy_Variables!F271+Multiple_Model!$B$16*Dummy_Variables!G271+Multiple_Model!$B$17*Dummy_Variables!I271+Multiple_Model!$B$18*Dummy_Variables!L271+Multiple_Model!$B$19*Dummy_Variables!H271+Multiple_Model!$B$20*Dummy_Variables!K271+Multiple_Model!$B$21*Dummy_Variables!J271+Multiple_Model!$B$22*Dummy_Variables!O271+Multiple_Model!$B$23*Dummy_Variables!P271+Multiple_Model!$B$24*Dummy_Variables!Q271+Multiple_Model!$B$25*Dummy_Variables!R271+Multiple_Model!$B$26*Dummy_Variables!S271+Multiple_Model!$B$27*Dummy_Variables!T271</f>
        <v>702641.31112842483</v>
      </c>
      <c r="G271" s="3">
        <f>E271-F271</f>
        <v>36733.248871575226</v>
      </c>
      <c r="H271" s="3">
        <f>ABS(G271)</f>
        <v>36733.248871575226</v>
      </c>
      <c r="I271" t="str">
        <f>IF(G271&gt;0,"Under-predicted","Over-predicted")</f>
        <v>Under-predicted</v>
      </c>
    </row>
    <row r="272" spans="1:9">
      <c r="A272" t="s">
        <v>89</v>
      </c>
      <c r="B272" s="2">
        <v>45717</v>
      </c>
      <c r="C272" t="s">
        <v>15</v>
      </c>
      <c r="D272" t="s">
        <v>28</v>
      </c>
      <c r="E272" s="3">
        <v>799756.46</v>
      </c>
      <c r="F272" s="3">
        <f>Multiple_Model!$B$13+Multiple_Model!$B$14*Dummy_Variables!E272+Multiple_Model!$B$15*Dummy_Variables!F272+Multiple_Model!$B$16*Dummy_Variables!G272+Multiple_Model!$B$17*Dummy_Variables!I272+Multiple_Model!$B$18*Dummy_Variables!L272+Multiple_Model!$B$19*Dummy_Variables!H272+Multiple_Model!$B$20*Dummy_Variables!K272+Multiple_Model!$B$21*Dummy_Variables!J272+Multiple_Model!$B$22*Dummy_Variables!O272+Multiple_Model!$B$23*Dummy_Variables!P272+Multiple_Model!$B$24*Dummy_Variables!Q272+Multiple_Model!$B$25*Dummy_Variables!R272+Multiple_Model!$B$26*Dummy_Variables!S272+Multiple_Model!$B$27*Dummy_Variables!T272</f>
        <v>812050.04943531705</v>
      </c>
      <c r="G272" s="3">
        <f>E272-F272</f>
        <v>-12293.589435317088</v>
      </c>
      <c r="H272" s="3">
        <f>ABS(G272)</f>
        <v>12293.589435317088</v>
      </c>
      <c r="I272" t="str">
        <f>IF(G272&gt;0,"Under-predicted","Over-predicted")</f>
        <v>Over-predicted</v>
      </c>
    </row>
    <row r="273" spans="1:9">
      <c r="A273" t="s">
        <v>89</v>
      </c>
      <c r="B273" s="2">
        <v>45748</v>
      </c>
      <c r="C273" t="s">
        <v>15</v>
      </c>
      <c r="D273" t="s">
        <v>28</v>
      </c>
      <c r="E273" s="3">
        <v>593343</v>
      </c>
      <c r="F273" s="3">
        <f>Multiple_Model!$B$13+Multiple_Model!$B$14*Dummy_Variables!E273+Multiple_Model!$B$15*Dummy_Variables!F273+Multiple_Model!$B$16*Dummy_Variables!G273+Multiple_Model!$B$17*Dummy_Variables!I273+Multiple_Model!$B$18*Dummy_Variables!L273+Multiple_Model!$B$19*Dummy_Variables!H273+Multiple_Model!$B$20*Dummy_Variables!K273+Multiple_Model!$B$21*Dummy_Variables!J273+Multiple_Model!$B$22*Dummy_Variables!O273+Multiple_Model!$B$23*Dummy_Variables!P273+Multiple_Model!$B$24*Dummy_Variables!Q273+Multiple_Model!$B$25*Dummy_Variables!R273+Multiple_Model!$B$26*Dummy_Variables!S273+Multiple_Model!$B$27*Dummy_Variables!T273</f>
        <v>664860.65616788191</v>
      </c>
      <c r="G273" s="3">
        <f>E273-F273</f>
        <v>-71517.656167881913</v>
      </c>
      <c r="H273" s="3">
        <f>ABS(G273)</f>
        <v>71517.656167881913</v>
      </c>
      <c r="I273" t="str">
        <f>IF(G273&gt;0,"Under-predicted","Over-predicted")</f>
        <v>Over-predicted</v>
      </c>
    </row>
    <row r="274" spans="1:9">
      <c r="A274" t="s">
        <v>90</v>
      </c>
      <c r="B274" s="2">
        <v>45658</v>
      </c>
      <c r="C274" t="s">
        <v>27</v>
      </c>
      <c r="D274" t="s">
        <v>18</v>
      </c>
      <c r="E274" s="3">
        <v>645039.97</v>
      </c>
      <c r="F274" s="3">
        <f>Multiple_Model!$B$13+Multiple_Model!$B$14*Dummy_Variables!E274+Multiple_Model!$B$15*Dummy_Variables!F274+Multiple_Model!$B$16*Dummy_Variables!G274+Multiple_Model!$B$17*Dummy_Variables!I274+Multiple_Model!$B$18*Dummy_Variables!L274+Multiple_Model!$B$19*Dummy_Variables!H274+Multiple_Model!$B$20*Dummy_Variables!K274+Multiple_Model!$B$21*Dummy_Variables!J274+Multiple_Model!$B$22*Dummy_Variables!O274+Multiple_Model!$B$23*Dummy_Variables!P274+Multiple_Model!$B$24*Dummy_Variables!Q274+Multiple_Model!$B$25*Dummy_Variables!R274+Multiple_Model!$B$26*Dummy_Variables!S274+Multiple_Model!$B$27*Dummy_Variables!T274</f>
        <v>643275.80505830143</v>
      </c>
      <c r="G274" s="3">
        <f>E274-F274</f>
        <v>1764.1649416985456</v>
      </c>
      <c r="H274" s="3">
        <f>ABS(G274)</f>
        <v>1764.1649416985456</v>
      </c>
      <c r="I274" t="str">
        <f>IF(G274&gt;0,"Under-predicted","Over-predicted")</f>
        <v>Under-predicted</v>
      </c>
    </row>
    <row r="275" spans="1:9">
      <c r="A275" t="s">
        <v>90</v>
      </c>
      <c r="B275" s="2">
        <v>45689</v>
      </c>
      <c r="C275" t="s">
        <v>27</v>
      </c>
      <c r="D275" t="s">
        <v>18</v>
      </c>
      <c r="E275" s="3">
        <v>561597.32999999996</v>
      </c>
      <c r="F275" s="3">
        <f>Multiple_Model!$B$13+Multiple_Model!$B$14*Dummy_Variables!E275+Multiple_Model!$B$15*Dummy_Variables!F275+Multiple_Model!$B$16*Dummy_Variables!G275+Multiple_Model!$B$17*Dummy_Variables!I275+Multiple_Model!$B$18*Dummy_Variables!L275+Multiple_Model!$B$19*Dummy_Variables!H275+Multiple_Model!$B$20*Dummy_Variables!K275+Multiple_Model!$B$21*Dummy_Variables!J275+Multiple_Model!$B$22*Dummy_Variables!O275+Multiple_Model!$B$23*Dummy_Variables!P275+Multiple_Model!$B$24*Dummy_Variables!Q275+Multiple_Model!$B$25*Dummy_Variables!R275+Multiple_Model!$B$26*Dummy_Variables!S275+Multiple_Model!$B$27*Dummy_Variables!T275</f>
        <v>547096.17628220667</v>
      </c>
      <c r="G275" s="3">
        <f>E275-F275</f>
        <v>14501.153717793291</v>
      </c>
      <c r="H275" s="3">
        <f>ABS(G275)</f>
        <v>14501.153717793291</v>
      </c>
      <c r="I275" t="str">
        <f>IF(G275&gt;0,"Under-predicted","Over-predicted")</f>
        <v>Under-predicted</v>
      </c>
    </row>
    <row r="276" spans="1:9">
      <c r="A276" t="s">
        <v>90</v>
      </c>
      <c r="B276" s="2">
        <v>45717</v>
      </c>
      <c r="C276" t="s">
        <v>27</v>
      </c>
      <c r="D276" t="s">
        <v>18</v>
      </c>
      <c r="E276" s="3">
        <v>635837.74</v>
      </c>
      <c r="F276" s="3">
        <f>Multiple_Model!$B$13+Multiple_Model!$B$14*Dummy_Variables!E276+Multiple_Model!$B$15*Dummy_Variables!F276+Multiple_Model!$B$16*Dummy_Variables!G276+Multiple_Model!$B$17*Dummy_Variables!I276+Multiple_Model!$B$18*Dummy_Variables!L276+Multiple_Model!$B$19*Dummy_Variables!H276+Multiple_Model!$B$20*Dummy_Variables!K276+Multiple_Model!$B$21*Dummy_Variables!J276+Multiple_Model!$B$22*Dummy_Variables!O276+Multiple_Model!$B$23*Dummy_Variables!P276+Multiple_Model!$B$24*Dummy_Variables!Q276+Multiple_Model!$B$25*Dummy_Variables!R276+Multiple_Model!$B$26*Dummy_Variables!S276+Multiple_Model!$B$27*Dummy_Variables!T276</f>
        <v>663976.34089534648</v>
      </c>
      <c r="G276" s="3">
        <f>E276-F276</f>
        <v>-28138.600895346492</v>
      </c>
      <c r="H276" s="3">
        <f>ABS(G276)</f>
        <v>28138.600895346492</v>
      </c>
      <c r="I276" t="str">
        <f>IF(G276&gt;0,"Under-predicted","Over-predicted")</f>
        <v>Over-predicted</v>
      </c>
    </row>
    <row r="277" spans="1:9">
      <c r="A277" t="s">
        <v>90</v>
      </c>
      <c r="B277" s="2">
        <v>45748</v>
      </c>
      <c r="C277" t="s">
        <v>27</v>
      </c>
      <c r="D277" t="s">
        <v>18</v>
      </c>
      <c r="E277" s="3">
        <v>686737.87</v>
      </c>
      <c r="F277" s="3">
        <f>Multiple_Model!$B$13+Multiple_Model!$B$14*Dummy_Variables!E277+Multiple_Model!$B$15*Dummy_Variables!F277+Multiple_Model!$B$16*Dummy_Variables!G277+Multiple_Model!$B$17*Dummy_Variables!I277+Multiple_Model!$B$18*Dummy_Variables!L277+Multiple_Model!$B$19*Dummy_Variables!H277+Multiple_Model!$B$20*Dummy_Variables!K277+Multiple_Model!$B$21*Dummy_Variables!J277+Multiple_Model!$B$22*Dummy_Variables!O277+Multiple_Model!$B$23*Dummy_Variables!P277+Multiple_Model!$B$24*Dummy_Variables!Q277+Multiple_Model!$B$25*Dummy_Variables!R277+Multiple_Model!$B$26*Dummy_Variables!S277+Multiple_Model!$B$27*Dummy_Variables!T277</f>
        <v>612851.29789384187</v>
      </c>
      <c r="G277" s="3">
        <f>E277-F277</f>
        <v>73886.572106158128</v>
      </c>
      <c r="H277" s="3">
        <f>ABS(G277)</f>
        <v>73886.572106158128</v>
      </c>
      <c r="I277" t="str">
        <f>IF(G277&gt;0,"Under-predicted","Over-predicted")</f>
        <v>Under-predicted</v>
      </c>
    </row>
    <row r="278" spans="1:9">
      <c r="A278" t="s">
        <v>91</v>
      </c>
      <c r="B278" s="2">
        <v>45658</v>
      </c>
      <c r="C278" t="s">
        <v>24</v>
      </c>
      <c r="D278" t="s">
        <v>16</v>
      </c>
      <c r="E278" s="3">
        <v>673076.34</v>
      </c>
      <c r="F278" s="3">
        <f>Multiple_Model!$B$13+Multiple_Model!$B$14*Dummy_Variables!E278+Multiple_Model!$B$15*Dummy_Variables!F278+Multiple_Model!$B$16*Dummy_Variables!G278+Multiple_Model!$B$17*Dummy_Variables!I278+Multiple_Model!$B$18*Dummy_Variables!L278+Multiple_Model!$B$19*Dummy_Variables!H278+Multiple_Model!$B$20*Dummy_Variables!K278+Multiple_Model!$B$21*Dummy_Variables!J278+Multiple_Model!$B$22*Dummy_Variables!O278+Multiple_Model!$B$23*Dummy_Variables!P278+Multiple_Model!$B$24*Dummy_Variables!Q278+Multiple_Model!$B$25*Dummy_Variables!R278+Multiple_Model!$B$26*Dummy_Variables!S278+Multiple_Model!$B$27*Dummy_Variables!T278</f>
        <v>688815.67676423781</v>
      </c>
      <c r="G278" s="3">
        <f>E278-F278</f>
        <v>-15739.336764237843</v>
      </c>
      <c r="H278" s="3">
        <f>ABS(G278)</f>
        <v>15739.336764237843</v>
      </c>
      <c r="I278" t="str">
        <f>IF(G278&gt;0,"Under-predicted","Over-predicted")</f>
        <v>Over-predicted</v>
      </c>
    </row>
    <row r="279" spans="1:9">
      <c r="A279" t="s">
        <v>91</v>
      </c>
      <c r="B279" s="2">
        <v>45689</v>
      </c>
      <c r="C279" t="s">
        <v>24</v>
      </c>
      <c r="D279" t="s">
        <v>16</v>
      </c>
      <c r="E279" s="3">
        <v>738548.42</v>
      </c>
      <c r="F279" s="3">
        <f>Multiple_Model!$B$13+Multiple_Model!$B$14*Dummy_Variables!E279+Multiple_Model!$B$15*Dummy_Variables!F279+Multiple_Model!$B$16*Dummy_Variables!G279+Multiple_Model!$B$17*Dummy_Variables!I279+Multiple_Model!$B$18*Dummy_Variables!L279+Multiple_Model!$B$19*Dummy_Variables!H279+Multiple_Model!$B$20*Dummy_Variables!K279+Multiple_Model!$B$21*Dummy_Variables!J279+Multiple_Model!$B$22*Dummy_Variables!O279+Multiple_Model!$B$23*Dummy_Variables!P279+Multiple_Model!$B$24*Dummy_Variables!Q279+Multiple_Model!$B$25*Dummy_Variables!R279+Multiple_Model!$B$26*Dummy_Variables!S279+Multiple_Model!$B$27*Dummy_Variables!T279</f>
        <v>702655.29175892007</v>
      </c>
      <c r="G279" s="3">
        <f>E279-F279</f>
        <v>35893.128241079976</v>
      </c>
      <c r="H279" s="3">
        <f>ABS(G279)</f>
        <v>35893.128241079976</v>
      </c>
      <c r="I279" t="str">
        <f>IF(G279&gt;0,"Under-predicted","Over-predicted")</f>
        <v>Under-predicted</v>
      </c>
    </row>
    <row r="280" spans="1:9">
      <c r="A280" t="s">
        <v>91</v>
      </c>
      <c r="B280" s="2">
        <v>45717</v>
      </c>
      <c r="C280" t="s">
        <v>24</v>
      </c>
      <c r="D280" t="s">
        <v>16</v>
      </c>
      <c r="E280" s="3">
        <v>756619.77</v>
      </c>
      <c r="F280" s="3">
        <f>Multiple_Model!$B$13+Multiple_Model!$B$14*Dummy_Variables!E280+Multiple_Model!$B$15*Dummy_Variables!F280+Multiple_Model!$B$16*Dummy_Variables!G280+Multiple_Model!$B$17*Dummy_Variables!I280+Multiple_Model!$B$18*Dummy_Variables!L280+Multiple_Model!$B$19*Dummy_Variables!H280+Multiple_Model!$B$20*Dummy_Variables!K280+Multiple_Model!$B$21*Dummy_Variables!J280+Multiple_Model!$B$22*Dummy_Variables!O280+Multiple_Model!$B$23*Dummy_Variables!P280+Multiple_Model!$B$24*Dummy_Variables!Q280+Multiple_Model!$B$25*Dummy_Variables!R280+Multiple_Model!$B$26*Dummy_Variables!S280+Multiple_Model!$B$27*Dummy_Variables!T280</f>
        <v>739493.81394666352</v>
      </c>
      <c r="G280" s="3">
        <f>E280-F280</f>
        <v>17125.9560533365</v>
      </c>
      <c r="H280" s="3">
        <f>ABS(G280)</f>
        <v>17125.9560533365</v>
      </c>
      <c r="I280" t="str">
        <f>IF(G280&gt;0,"Under-predicted","Over-predicted")</f>
        <v>Under-predicted</v>
      </c>
    </row>
    <row r="281" spans="1:9">
      <c r="A281" t="s">
        <v>91</v>
      </c>
      <c r="B281" s="2">
        <v>45748</v>
      </c>
      <c r="C281" t="s">
        <v>24</v>
      </c>
      <c r="D281" t="s">
        <v>16</v>
      </c>
      <c r="E281" s="3">
        <v>761122.42</v>
      </c>
      <c r="F281" s="3">
        <f>Multiple_Model!$B$13+Multiple_Model!$B$14*Dummy_Variables!E281+Multiple_Model!$B$15*Dummy_Variables!F281+Multiple_Model!$B$16*Dummy_Variables!G281+Multiple_Model!$B$17*Dummy_Variables!I281+Multiple_Model!$B$18*Dummy_Variables!L281+Multiple_Model!$B$19*Dummy_Variables!H281+Multiple_Model!$B$20*Dummy_Variables!K281+Multiple_Model!$B$21*Dummy_Variables!J281+Multiple_Model!$B$22*Dummy_Variables!O281+Multiple_Model!$B$23*Dummy_Variables!P281+Multiple_Model!$B$24*Dummy_Variables!Q281+Multiple_Model!$B$25*Dummy_Variables!R281+Multiple_Model!$B$26*Dummy_Variables!S281+Multiple_Model!$B$27*Dummy_Variables!T281</f>
        <v>777434.11697482772</v>
      </c>
      <c r="G281" s="3">
        <f>E281-F281</f>
        <v>-16311.696974827675</v>
      </c>
      <c r="H281" s="3">
        <f>ABS(G281)</f>
        <v>16311.696974827675</v>
      </c>
      <c r="I281" t="str">
        <f>IF(G281&gt;0,"Under-predicted","Over-predicted")</f>
        <v>Over-predicted</v>
      </c>
    </row>
    <row r="282" spans="1:9">
      <c r="A282" t="s">
        <v>92</v>
      </c>
      <c r="B282" s="2">
        <v>45658</v>
      </c>
      <c r="C282" t="s">
        <v>24</v>
      </c>
      <c r="D282" t="s">
        <v>18</v>
      </c>
      <c r="E282" s="3">
        <v>524899.56999999995</v>
      </c>
      <c r="F282" s="3">
        <f>Multiple_Model!$B$13+Multiple_Model!$B$14*Dummy_Variables!E282+Multiple_Model!$B$15*Dummy_Variables!F282+Multiple_Model!$B$16*Dummy_Variables!G282+Multiple_Model!$B$17*Dummy_Variables!I282+Multiple_Model!$B$18*Dummy_Variables!L282+Multiple_Model!$B$19*Dummy_Variables!H282+Multiple_Model!$B$20*Dummy_Variables!K282+Multiple_Model!$B$21*Dummy_Variables!J282+Multiple_Model!$B$22*Dummy_Variables!O282+Multiple_Model!$B$23*Dummy_Variables!P282+Multiple_Model!$B$24*Dummy_Variables!Q282+Multiple_Model!$B$25*Dummy_Variables!R282+Multiple_Model!$B$26*Dummy_Variables!S282+Multiple_Model!$B$27*Dummy_Variables!T282</f>
        <v>593329.6727023155</v>
      </c>
      <c r="G282" s="3">
        <f>E282-F282</f>
        <v>-68430.102702315548</v>
      </c>
      <c r="H282" s="3">
        <f>ABS(G282)</f>
        <v>68430.102702315548</v>
      </c>
      <c r="I282" t="str">
        <f>IF(G282&gt;0,"Under-predicted","Over-predicted")</f>
        <v>Over-predicted</v>
      </c>
    </row>
    <row r="283" spans="1:9">
      <c r="A283" t="s">
        <v>92</v>
      </c>
      <c r="B283" s="2">
        <v>45689</v>
      </c>
      <c r="C283" t="s">
        <v>24</v>
      </c>
      <c r="D283" t="s">
        <v>18</v>
      </c>
      <c r="E283" s="3">
        <v>555557.77</v>
      </c>
      <c r="F283" s="3">
        <f>Multiple_Model!$B$13+Multiple_Model!$B$14*Dummy_Variables!E283+Multiple_Model!$B$15*Dummy_Variables!F283+Multiple_Model!$B$16*Dummy_Variables!G283+Multiple_Model!$B$17*Dummy_Variables!I283+Multiple_Model!$B$18*Dummy_Variables!L283+Multiple_Model!$B$19*Dummy_Variables!H283+Multiple_Model!$B$20*Dummy_Variables!K283+Multiple_Model!$B$21*Dummy_Variables!J283+Multiple_Model!$B$22*Dummy_Variables!O283+Multiple_Model!$B$23*Dummy_Variables!P283+Multiple_Model!$B$24*Dummy_Variables!Q283+Multiple_Model!$B$25*Dummy_Variables!R283+Multiple_Model!$B$26*Dummy_Variables!S283+Multiple_Model!$B$27*Dummy_Variables!T283</f>
        <v>603157.70411815436</v>
      </c>
      <c r="G283" s="3">
        <f>E283-F283</f>
        <v>-47599.934118154342</v>
      </c>
      <c r="H283" s="3">
        <f>ABS(G283)</f>
        <v>47599.934118154342</v>
      </c>
      <c r="I283" t="str">
        <f>IF(G283&gt;0,"Under-predicted","Over-predicted")</f>
        <v>Over-predicted</v>
      </c>
    </row>
    <row r="284" spans="1:9">
      <c r="A284" t="s">
        <v>92</v>
      </c>
      <c r="B284" s="2">
        <v>45717</v>
      </c>
      <c r="C284" t="s">
        <v>24</v>
      </c>
      <c r="D284" t="s">
        <v>18</v>
      </c>
      <c r="E284" s="3">
        <v>714083.68</v>
      </c>
      <c r="F284" s="3">
        <f>Multiple_Model!$B$13+Multiple_Model!$B$14*Dummy_Variables!E284+Multiple_Model!$B$15*Dummy_Variables!F284+Multiple_Model!$B$16*Dummy_Variables!G284+Multiple_Model!$B$17*Dummy_Variables!I284+Multiple_Model!$B$18*Dummy_Variables!L284+Multiple_Model!$B$19*Dummy_Variables!H284+Multiple_Model!$B$20*Dummy_Variables!K284+Multiple_Model!$B$21*Dummy_Variables!J284+Multiple_Model!$B$22*Dummy_Variables!O284+Multiple_Model!$B$23*Dummy_Variables!P284+Multiple_Model!$B$24*Dummy_Variables!Q284+Multiple_Model!$B$25*Dummy_Variables!R284+Multiple_Model!$B$26*Dummy_Variables!S284+Multiple_Model!$B$27*Dummy_Variables!T284</f>
        <v>709283.9729384993</v>
      </c>
      <c r="G284" s="3">
        <f>E284-F284</f>
        <v>4799.7070615007542</v>
      </c>
      <c r="H284" s="3">
        <f>ABS(G284)</f>
        <v>4799.7070615007542</v>
      </c>
      <c r="I284" t="str">
        <f>IF(G284&gt;0,"Under-predicted","Over-predicted")</f>
        <v>Under-predicted</v>
      </c>
    </row>
    <row r="285" spans="1:9">
      <c r="A285" t="s">
        <v>92</v>
      </c>
      <c r="B285" s="2">
        <v>45748</v>
      </c>
      <c r="C285" t="s">
        <v>24</v>
      </c>
      <c r="D285" t="s">
        <v>18</v>
      </c>
      <c r="E285" s="3">
        <v>497439.82</v>
      </c>
      <c r="F285" s="3">
        <f>Multiple_Model!$B$13+Multiple_Model!$B$14*Dummy_Variables!E285+Multiple_Model!$B$15*Dummy_Variables!F285+Multiple_Model!$B$16*Dummy_Variables!G285+Multiple_Model!$B$17*Dummy_Variables!I285+Multiple_Model!$B$18*Dummy_Variables!L285+Multiple_Model!$B$19*Dummy_Variables!H285+Multiple_Model!$B$20*Dummy_Variables!K285+Multiple_Model!$B$21*Dummy_Variables!J285+Multiple_Model!$B$22*Dummy_Variables!O285+Multiple_Model!$B$23*Dummy_Variables!P285+Multiple_Model!$B$24*Dummy_Variables!Q285+Multiple_Model!$B$25*Dummy_Variables!R285+Multiple_Model!$B$26*Dummy_Variables!S285+Multiple_Model!$B$27*Dummy_Variables!T285</f>
        <v>499875.11187494389</v>
      </c>
      <c r="G285" s="3">
        <f>E285-F285</f>
        <v>-2435.2918749438832</v>
      </c>
      <c r="H285" s="3">
        <f>ABS(G285)</f>
        <v>2435.2918749438832</v>
      </c>
      <c r="I285" t="str">
        <f>IF(G285&gt;0,"Under-predicted","Over-predicted")</f>
        <v>Over-predicted</v>
      </c>
    </row>
    <row r="286" spans="1:9">
      <c r="A286" t="s">
        <v>93</v>
      </c>
      <c r="B286" s="2">
        <v>45658</v>
      </c>
      <c r="C286" t="s">
        <v>27</v>
      </c>
      <c r="D286" t="s">
        <v>16</v>
      </c>
      <c r="E286" s="3">
        <v>636775.66</v>
      </c>
      <c r="F286" s="3">
        <f>Multiple_Model!$B$13+Multiple_Model!$B$14*Dummy_Variables!E286+Multiple_Model!$B$15*Dummy_Variables!F286+Multiple_Model!$B$16*Dummy_Variables!G286+Multiple_Model!$B$17*Dummy_Variables!I286+Multiple_Model!$B$18*Dummy_Variables!L286+Multiple_Model!$B$19*Dummy_Variables!H286+Multiple_Model!$B$20*Dummy_Variables!K286+Multiple_Model!$B$21*Dummy_Variables!J286+Multiple_Model!$B$22*Dummy_Variables!O286+Multiple_Model!$B$23*Dummy_Variables!P286+Multiple_Model!$B$24*Dummy_Variables!Q286+Multiple_Model!$B$25*Dummy_Variables!R286+Multiple_Model!$B$26*Dummy_Variables!S286+Multiple_Model!$B$27*Dummy_Variables!T286</f>
        <v>672045.57352236204</v>
      </c>
      <c r="G286" s="3">
        <f>E286-F286</f>
        <v>-35269.913522362011</v>
      </c>
      <c r="H286" s="3">
        <f>ABS(G286)</f>
        <v>35269.913522362011</v>
      </c>
      <c r="I286" t="str">
        <f>IF(G286&gt;0,"Under-predicted","Over-predicted")</f>
        <v>Over-predicted</v>
      </c>
    </row>
    <row r="287" spans="1:9">
      <c r="A287" t="s">
        <v>93</v>
      </c>
      <c r="B287" s="2">
        <v>45689</v>
      </c>
      <c r="C287" t="s">
        <v>27</v>
      </c>
      <c r="D287" t="s">
        <v>16</v>
      </c>
      <c r="E287" s="3">
        <v>633009.53</v>
      </c>
      <c r="F287" s="3">
        <f>Multiple_Model!$B$13+Multiple_Model!$B$14*Dummy_Variables!E287+Multiple_Model!$B$15*Dummy_Variables!F287+Multiple_Model!$B$16*Dummy_Variables!G287+Multiple_Model!$B$17*Dummy_Variables!I287+Multiple_Model!$B$18*Dummy_Variables!L287+Multiple_Model!$B$19*Dummy_Variables!H287+Multiple_Model!$B$20*Dummy_Variables!K287+Multiple_Model!$B$21*Dummy_Variables!J287+Multiple_Model!$B$22*Dummy_Variables!O287+Multiple_Model!$B$23*Dummy_Variables!P287+Multiple_Model!$B$24*Dummy_Variables!Q287+Multiple_Model!$B$25*Dummy_Variables!R287+Multiple_Model!$B$26*Dummy_Variables!S287+Multiple_Model!$B$27*Dummy_Variables!T287</f>
        <v>640157.85713784839</v>
      </c>
      <c r="G287" s="3">
        <f>E287-F287</f>
        <v>-7148.3271378483623</v>
      </c>
      <c r="H287" s="3">
        <f>ABS(G287)</f>
        <v>7148.3271378483623</v>
      </c>
      <c r="I287" t="str">
        <f>IF(G287&gt;0,"Under-predicted","Over-predicted")</f>
        <v>Over-predicted</v>
      </c>
    </row>
    <row r="288" spans="1:9">
      <c r="A288" t="s">
        <v>93</v>
      </c>
      <c r="B288" s="2">
        <v>45717</v>
      </c>
      <c r="C288" t="s">
        <v>27</v>
      </c>
      <c r="D288" t="s">
        <v>16</v>
      </c>
      <c r="E288" s="3">
        <v>609949</v>
      </c>
      <c r="F288" s="3">
        <f>Multiple_Model!$B$13+Multiple_Model!$B$14*Dummy_Variables!E288+Multiple_Model!$B$15*Dummy_Variables!F288+Multiple_Model!$B$16*Dummy_Variables!G288+Multiple_Model!$B$17*Dummy_Variables!I288+Multiple_Model!$B$18*Dummy_Variables!L288+Multiple_Model!$B$19*Dummy_Variables!H288+Multiple_Model!$B$20*Dummy_Variables!K288+Multiple_Model!$B$21*Dummy_Variables!J288+Multiple_Model!$B$22*Dummy_Variables!O288+Multiple_Model!$B$23*Dummy_Variables!P288+Multiple_Model!$B$24*Dummy_Variables!Q288+Multiple_Model!$B$25*Dummy_Variables!R288+Multiple_Model!$B$26*Dummy_Variables!S288+Multiple_Model!$B$27*Dummy_Variables!T288</f>
        <v>627462.47992347728</v>
      </c>
      <c r="G288" s="3">
        <f>E288-F288</f>
        <v>-17513.47992347728</v>
      </c>
      <c r="H288" s="3">
        <f>ABS(G288)</f>
        <v>17513.47992347728</v>
      </c>
      <c r="I288" t="str">
        <f>IF(G288&gt;0,"Under-predicted","Over-predicted")</f>
        <v>Over-predicted</v>
      </c>
    </row>
    <row r="289" spans="1:9">
      <c r="A289" t="s">
        <v>93</v>
      </c>
      <c r="B289" s="2">
        <v>45748</v>
      </c>
      <c r="C289" t="s">
        <v>27</v>
      </c>
      <c r="D289" t="s">
        <v>16</v>
      </c>
      <c r="E289" s="3">
        <v>548103.69999999995</v>
      </c>
      <c r="F289" s="3">
        <f>Multiple_Model!$B$13+Multiple_Model!$B$14*Dummy_Variables!E289+Multiple_Model!$B$15*Dummy_Variables!F289+Multiple_Model!$B$16*Dummy_Variables!G289+Multiple_Model!$B$17*Dummy_Variables!I289+Multiple_Model!$B$18*Dummy_Variables!L289+Multiple_Model!$B$19*Dummy_Variables!H289+Multiple_Model!$B$20*Dummy_Variables!K289+Multiple_Model!$B$21*Dummy_Variables!J289+Multiple_Model!$B$22*Dummy_Variables!O289+Multiple_Model!$B$23*Dummy_Variables!P289+Multiple_Model!$B$24*Dummy_Variables!Q289+Multiple_Model!$B$25*Dummy_Variables!R289+Multiple_Model!$B$26*Dummy_Variables!S289+Multiple_Model!$B$27*Dummy_Variables!T289</f>
        <v>574479.23493572907</v>
      </c>
      <c r="G289" s="3">
        <f>E289-F289</f>
        <v>-26375.534935729112</v>
      </c>
      <c r="H289" s="3">
        <f>ABS(G289)</f>
        <v>26375.534935729112</v>
      </c>
      <c r="I289" t="str">
        <f>IF(G289&gt;0,"Under-predicted","Over-predicted")</f>
        <v>Over-predicted</v>
      </c>
    </row>
    <row r="290" spans="1:9">
      <c r="A290" t="s">
        <v>94</v>
      </c>
      <c r="B290" s="2">
        <v>45658</v>
      </c>
      <c r="C290" t="s">
        <v>15</v>
      </c>
      <c r="D290" t="s">
        <v>16</v>
      </c>
      <c r="E290" s="3">
        <v>729424.42</v>
      </c>
      <c r="F290" s="3">
        <f>Multiple_Model!$B$13+Multiple_Model!$B$14*Dummy_Variables!E290+Multiple_Model!$B$15*Dummy_Variables!F290+Multiple_Model!$B$16*Dummy_Variables!G290+Multiple_Model!$B$17*Dummy_Variables!I290+Multiple_Model!$B$18*Dummy_Variables!L290+Multiple_Model!$B$19*Dummy_Variables!H290+Multiple_Model!$B$20*Dummy_Variables!K290+Multiple_Model!$B$21*Dummy_Variables!J290+Multiple_Model!$B$22*Dummy_Variables!O290+Multiple_Model!$B$23*Dummy_Variables!P290+Multiple_Model!$B$24*Dummy_Variables!Q290+Multiple_Model!$B$25*Dummy_Variables!R290+Multiple_Model!$B$26*Dummy_Variables!S290+Multiple_Model!$B$27*Dummy_Variables!T290</f>
        <v>685724.99383962457</v>
      </c>
      <c r="G290" s="3">
        <f>E290-F290</f>
        <v>43699.426160375471</v>
      </c>
      <c r="H290" s="3">
        <f>ABS(G290)</f>
        <v>43699.426160375471</v>
      </c>
      <c r="I290" t="str">
        <f>IF(G290&gt;0,"Under-predicted","Over-predicted")</f>
        <v>Under-predicted</v>
      </c>
    </row>
    <row r="291" spans="1:9">
      <c r="A291" t="s">
        <v>94</v>
      </c>
      <c r="B291" s="2">
        <v>45689</v>
      </c>
      <c r="C291" t="s">
        <v>15</v>
      </c>
      <c r="D291" t="s">
        <v>16</v>
      </c>
      <c r="E291" s="3">
        <v>696261.49</v>
      </c>
      <c r="F291" s="3">
        <f>Multiple_Model!$B$13+Multiple_Model!$B$14*Dummy_Variables!E291+Multiple_Model!$B$15*Dummy_Variables!F291+Multiple_Model!$B$16*Dummy_Variables!G291+Multiple_Model!$B$17*Dummy_Variables!I291+Multiple_Model!$B$18*Dummy_Variables!L291+Multiple_Model!$B$19*Dummy_Variables!H291+Multiple_Model!$B$20*Dummy_Variables!K291+Multiple_Model!$B$21*Dummy_Variables!J291+Multiple_Model!$B$22*Dummy_Variables!O291+Multiple_Model!$B$23*Dummy_Variables!P291+Multiple_Model!$B$24*Dummy_Variables!Q291+Multiple_Model!$B$25*Dummy_Variables!R291+Multiple_Model!$B$26*Dummy_Variables!S291+Multiple_Model!$B$27*Dummy_Variables!T291</f>
        <v>724969.34179897746</v>
      </c>
      <c r="G291" s="3">
        <f>E291-F291</f>
        <v>-28707.85179897747</v>
      </c>
      <c r="H291" s="3">
        <f>ABS(G291)</f>
        <v>28707.85179897747</v>
      </c>
      <c r="I291" t="str">
        <f>IF(G291&gt;0,"Under-predicted","Over-predicted")</f>
        <v>Over-predicted</v>
      </c>
    </row>
    <row r="292" spans="1:9">
      <c r="A292" t="s">
        <v>94</v>
      </c>
      <c r="B292" s="2">
        <v>45717</v>
      </c>
      <c r="C292" t="s">
        <v>15</v>
      </c>
      <c r="D292" t="s">
        <v>16</v>
      </c>
      <c r="E292" s="3">
        <v>813316.71</v>
      </c>
      <c r="F292" s="3">
        <f>Multiple_Model!$B$13+Multiple_Model!$B$14*Dummy_Variables!E292+Multiple_Model!$B$15*Dummy_Variables!F292+Multiple_Model!$B$16*Dummy_Variables!G292+Multiple_Model!$B$17*Dummy_Variables!I292+Multiple_Model!$B$18*Dummy_Variables!L292+Multiple_Model!$B$19*Dummy_Variables!H292+Multiple_Model!$B$20*Dummy_Variables!K292+Multiple_Model!$B$21*Dummy_Variables!J292+Multiple_Model!$B$22*Dummy_Variables!O292+Multiple_Model!$B$23*Dummy_Variables!P292+Multiple_Model!$B$24*Dummy_Variables!Q292+Multiple_Model!$B$25*Dummy_Variables!R292+Multiple_Model!$B$26*Dummy_Variables!S292+Multiple_Model!$B$27*Dummy_Variables!T292</f>
        <v>721415.91992684861</v>
      </c>
      <c r="G292" s="3">
        <f>E292-F292</f>
        <v>91900.790073151351</v>
      </c>
      <c r="H292" s="3">
        <f>ABS(G292)</f>
        <v>91900.790073151351</v>
      </c>
      <c r="I292" t="str">
        <f>IF(G292&gt;0,"Under-predicted","Over-predicted")</f>
        <v>Under-predicted</v>
      </c>
    </row>
    <row r="293" spans="1:9">
      <c r="A293" t="s">
        <v>94</v>
      </c>
      <c r="B293" s="2">
        <v>45748</v>
      </c>
      <c r="C293" t="s">
        <v>15</v>
      </c>
      <c r="D293" t="s">
        <v>16</v>
      </c>
      <c r="E293" s="3">
        <v>702068.92</v>
      </c>
      <c r="F293" s="3">
        <f>Multiple_Model!$B$13+Multiple_Model!$B$14*Dummy_Variables!E293+Multiple_Model!$B$15*Dummy_Variables!F293+Multiple_Model!$B$16*Dummy_Variables!G293+Multiple_Model!$B$17*Dummy_Variables!I293+Multiple_Model!$B$18*Dummy_Variables!L293+Multiple_Model!$B$19*Dummy_Variables!H293+Multiple_Model!$B$20*Dummy_Variables!K293+Multiple_Model!$B$21*Dummy_Variables!J293+Multiple_Model!$B$22*Dummy_Variables!O293+Multiple_Model!$B$23*Dummy_Variables!P293+Multiple_Model!$B$24*Dummy_Variables!Q293+Multiple_Model!$B$25*Dummy_Variables!R293+Multiple_Model!$B$26*Dummy_Variables!S293+Multiple_Model!$B$27*Dummy_Variables!T293</f>
        <v>683304.4131178594</v>
      </c>
      <c r="G293" s="3">
        <f>E293-F293</f>
        <v>18764.506882140646</v>
      </c>
      <c r="H293" s="3">
        <f>ABS(G293)</f>
        <v>18764.506882140646</v>
      </c>
      <c r="I293" t="str">
        <f>IF(G293&gt;0,"Under-predicted","Over-predicted")</f>
        <v>Under-predicted</v>
      </c>
    </row>
    <row r="294" spans="1:9">
      <c r="A294" t="s">
        <v>95</v>
      </c>
      <c r="B294" s="2">
        <v>45658</v>
      </c>
      <c r="C294" t="s">
        <v>27</v>
      </c>
      <c r="D294" t="s">
        <v>18</v>
      </c>
      <c r="E294" s="3">
        <v>546223.69999999995</v>
      </c>
      <c r="F294" s="3">
        <f>Multiple_Model!$B$13+Multiple_Model!$B$14*Dummy_Variables!E294+Multiple_Model!$B$15*Dummy_Variables!F294+Multiple_Model!$B$16*Dummy_Variables!G294+Multiple_Model!$B$17*Dummy_Variables!I294+Multiple_Model!$B$18*Dummy_Variables!L294+Multiple_Model!$B$19*Dummy_Variables!H294+Multiple_Model!$B$20*Dummy_Variables!K294+Multiple_Model!$B$21*Dummy_Variables!J294+Multiple_Model!$B$22*Dummy_Variables!O294+Multiple_Model!$B$23*Dummy_Variables!P294+Multiple_Model!$B$24*Dummy_Variables!Q294+Multiple_Model!$B$25*Dummy_Variables!R294+Multiple_Model!$B$26*Dummy_Variables!S294+Multiple_Model!$B$27*Dummy_Variables!T294</f>
        <v>579981.41484141373</v>
      </c>
      <c r="G294" s="3">
        <f>E294-F294</f>
        <v>-33757.714841413777</v>
      </c>
      <c r="H294" s="3">
        <f>ABS(G294)</f>
        <v>33757.714841413777</v>
      </c>
      <c r="I294" t="str">
        <f>IF(G294&gt;0,"Under-predicted","Over-predicted")</f>
        <v>Over-predicted</v>
      </c>
    </row>
    <row r="295" spans="1:9">
      <c r="A295" t="s">
        <v>95</v>
      </c>
      <c r="B295" s="2">
        <v>45689</v>
      </c>
      <c r="C295" t="s">
        <v>27</v>
      </c>
      <c r="D295" t="s">
        <v>18</v>
      </c>
      <c r="E295" s="3">
        <v>533121.26</v>
      </c>
      <c r="F295" s="3">
        <f>Multiple_Model!$B$13+Multiple_Model!$B$14*Dummy_Variables!E295+Multiple_Model!$B$15*Dummy_Variables!F295+Multiple_Model!$B$16*Dummy_Variables!G295+Multiple_Model!$B$17*Dummy_Variables!I295+Multiple_Model!$B$18*Dummy_Variables!L295+Multiple_Model!$B$19*Dummy_Variables!H295+Multiple_Model!$B$20*Dummy_Variables!K295+Multiple_Model!$B$21*Dummy_Variables!J295+Multiple_Model!$B$22*Dummy_Variables!O295+Multiple_Model!$B$23*Dummy_Variables!P295+Multiple_Model!$B$24*Dummy_Variables!Q295+Multiple_Model!$B$25*Dummy_Variables!R295+Multiple_Model!$B$26*Dummy_Variables!S295+Multiple_Model!$B$27*Dummy_Variables!T295</f>
        <v>545439.56741055788</v>
      </c>
      <c r="G295" s="3">
        <f>E295-F295</f>
        <v>-12318.307410557871</v>
      </c>
      <c r="H295" s="3">
        <f>ABS(G295)</f>
        <v>12318.307410557871</v>
      </c>
      <c r="I295" t="str">
        <f>IF(G295&gt;0,"Under-predicted","Over-predicted")</f>
        <v>Over-predicted</v>
      </c>
    </row>
    <row r="296" spans="1:9">
      <c r="A296" t="s">
        <v>95</v>
      </c>
      <c r="B296" s="2">
        <v>45717</v>
      </c>
      <c r="C296" t="s">
        <v>27</v>
      </c>
      <c r="D296" t="s">
        <v>18</v>
      </c>
      <c r="E296" s="3">
        <v>498970.32</v>
      </c>
      <c r="F296" s="3">
        <f>Multiple_Model!$B$13+Multiple_Model!$B$14*Dummy_Variables!E296+Multiple_Model!$B$15*Dummy_Variables!F296+Multiple_Model!$B$16*Dummy_Variables!G296+Multiple_Model!$B$17*Dummy_Variables!I296+Multiple_Model!$B$18*Dummy_Variables!L296+Multiple_Model!$B$19*Dummy_Variables!H296+Multiple_Model!$B$20*Dummy_Variables!K296+Multiple_Model!$B$21*Dummy_Variables!J296+Multiple_Model!$B$22*Dummy_Variables!O296+Multiple_Model!$B$23*Dummy_Variables!P296+Multiple_Model!$B$24*Dummy_Variables!Q296+Multiple_Model!$B$25*Dummy_Variables!R296+Multiple_Model!$B$26*Dummy_Variables!S296+Multiple_Model!$B$27*Dummy_Variables!T296</f>
        <v>507092.58417185792</v>
      </c>
      <c r="G296" s="3">
        <f>E296-F296</f>
        <v>-8122.2641718579107</v>
      </c>
      <c r="H296" s="3">
        <f>ABS(G296)</f>
        <v>8122.2641718579107</v>
      </c>
      <c r="I296" t="str">
        <f>IF(G296&gt;0,"Under-predicted","Over-predicted")</f>
        <v>Over-predicted</v>
      </c>
    </row>
    <row r="297" spans="1:9">
      <c r="A297" t="s">
        <v>95</v>
      </c>
      <c r="B297" s="2">
        <v>45748</v>
      </c>
      <c r="C297" t="s">
        <v>27</v>
      </c>
      <c r="D297" t="s">
        <v>18</v>
      </c>
      <c r="E297" s="3">
        <v>487738.26</v>
      </c>
      <c r="F297" s="3">
        <f>Multiple_Model!$B$13+Multiple_Model!$B$14*Dummy_Variables!E297+Multiple_Model!$B$15*Dummy_Variables!F297+Multiple_Model!$B$16*Dummy_Variables!G297+Multiple_Model!$B$17*Dummy_Variables!I297+Multiple_Model!$B$18*Dummy_Variables!L297+Multiple_Model!$B$19*Dummy_Variables!H297+Multiple_Model!$B$20*Dummy_Variables!K297+Multiple_Model!$B$21*Dummy_Variables!J297+Multiple_Model!$B$22*Dummy_Variables!O297+Multiple_Model!$B$23*Dummy_Variables!P297+Multiple_Model!$B$24*Dummy_Variables!Q297+Multiple_Model!$B$25*Dummy_Variables!R297+Multiple_Model!$B$26*Dummy_Variables!S297+Multiple_Model!$B$27*Dummy_Variables!T297</f>
        <v>494946.32056968333</v>
      </c>
      <c r="G297" s="3">
        <f>E297-F297</f>
        <v>-7208.0605696833227</v>
      </c>
      <c r="H297" s="3">
        <f>ABS(G297)</f>
        <v>7208.0605696833227</v>
      </c>
      <c r="I297" t="str">
        <f>IF(G297&gt;0,"Under-predicted","Over-predicted")</f>
        <v>Over-predicted</v>
      </c>
    </row>
    <row r="298" spans="1:9">
      <c r="A298" t="s">
        <v>96</v>
      </c>
      <c r="B298" s="2">
        <v>45658</v>
      </c>
      <c r="C298" t="s">
        <v>27</v>
      </c>
      <c r="D298" t="s">
        <v>18</v>
      </c>
      <c r="E298" s="3">
        <v>668459.37</v>
      </c>
      <c r="F298" s="3">
        <f>Multiple_Model!$B$13+Multiple_Model!$B$14*Dummy_Variables!E298+Multiple_Model!$B$15*Dummy_Variables!F298+Multiple_Model!$B$16*Dummy_Variables!G298+Multiple_Model!$B$17*Dummy_Variables!I298+Multiple_Model!$B$18*Dummy_Variables!L298+Multiple_Model!$B$19*Dummy_Variables!H298+Multiple_Model!$B$20*Dummy_Variables!K298+Multiple_Model!$B$21*Dummy_Variables!J298+Multiple_Model!$B$22*Dummy_Variables!O298+Multiple_Model!$B$23*Dummy_Variables!P298+Multiple_Model!$B$24*Dummy_Variables!Q298+Multiple_Model!$B$25*Dummy_Variables!R298+Multiple_Model!$B$26*Dummy_Variables!S298+Multiple_Model!$B$27*Dummy_Variables!T298</f>
        <v>661493.85942329268</v>
      </c>
      <c r="G298" s="3">
        <f>E298-F298</f>
        <v>6965.510576707311</v>
      </c>
      <c r="H298" s="3">
        <f>ABS(G298)</f>
        <v>6965.510576707311</v>
      </c>
      <c r="I298" t="str">
        <f>IF(G298&gt;0,"Under-predicted","Over-predicted")</f>
        <v>Under-predicted</v>
      </c>
    </row>
    <row r="299" spans="1:9">
      <c r="A299" t="s">
        <v>96</v>
      </c>
      <c r="B299" s="2">
        <v>45689</v>
      </c>
      <c r="C299" t="s">
        <v>27</v>
      </c>
      <c r="D299" t="s">
        <v>18</v>
      </c>
      <c r="E299" s="3">
        <v>763162.45</v>
      </c>
      <c r="F299" s="3">
        <f>Multiple_Model!$B$13+Multiple_Model!$B$14*Dummy_Variables!E299+Multiple_Model!$B$15*Dummy_Variables!F299+Multiple_Model!$B$16*Dummy_Variables!G299+Multiple_Model!$B$17*Dummy_Variables!I299+Multiple_Model!$B$18*Dummy_Variables!L299+Multiple_Model!$B$19*Dummy_Variables!H299+Multiple_Model!$B$20*Dummy_Variables!K299+Multiple_Model!$B$21*Dummy_Variables!J299+Multiple_Model!$B$22*Dummy_Variables!O299+Multiple_Model!$B$23*Dummy_Variables!P299+Multiple_Model!$B$24*Dummy_Variables!Q299+Multiple_Model!$B$25*Dummy_Variables!R299+Multiple_Model!$B$26*Dummy_Variables!S299+Multiple_Model!$B$27*Dummy_Variables!T299</f>
        <v>691553.13373315602</v>
      </c>
      <c r="G299" s="3">
        <f>E299-F299</f>
        <v>71609.316266843933</v>
      </c>
      <c r="H299" s="3">
        <f>ABS(G299)</f>
        <v>71609.316266843933</v>
      </c>
      <c r="I299" t="str">
        <f>IF(G299&gt;0,"Under-predicted","Over-predicted")</f>
        <v>Under-predicted</v>
      </c>
    </row>
    <row r="300" spans="1:9">
      <c r="A300" t="s">
        <v>96</v>
      </c>
      <c r="B300" s="2">
        <v>45717</v>
      </c>
      <c r="C300" t="s">
        <v>27</v>
      </c>
      <c r="D300" t="s">
        <v>18</v>
      </c>
      <c r="E300" s="3">
        <v>599017.32999999996</v>
      </c>
      <c r="F300" s="3">
        <f>Multiple_Model!$B$13+Multiple_Model!$B$14*Dummy_Variables!E300+Multiple_Model!$B$15*Dummy_Variables!F300+Multiple_Model!$B$16*Dummy_Variables!G300+Multiple_Model!$B$17*Dummy_Variables!I300+Multiple_Model!$B$18*Dummy_Variables!L300+Multiple_Model!$B$19*Dummy_Variables!H300+Multiple_Model!$B$20*Dummy_Variables!K300+Multiple_Model!$B$21*Dummy_Variables!J300+Multiple_Model!$B$22*Dummy_Variables!O300+Multiple_Model!$B$23*Dummy_Variables!P300+Multiple_Model!$B$24*Dummy_Variables!Q300+Multiple_Model!$B$25*Dummy_Variables!R300+Multiple_Model!$B$26*Dummy_Variables!S300+Multiple_Model!$B$27*Dummy_Variables!T300</f>
        <v>617477.27574299253</v>
      </c>
      <c r="G300" s="3">
        <f>E300-F300</f>
        <v>-18459.945742992568</v>
      </c>
      <c r="H300" s="3">
        <f>ABS(G300)</f>
        <v>18459.945742992568</v>
      </c>
      <c r="I300" t="str">
        <f>IF(G300&gt;0,"Under-predicted","Over-predicted")</f>
        <v>Over-predicted</v>
      </c>
    </row>
    <row r="301" spans="1:9">
      <c r="A301" t="s">
        <v>96</v>
      </c>
      <c r="B301" s="2">
        <v>45748</v>
      </c>
      <c r="C301" t="s">
        <v>27</v>
      </c>
      <c r="D301" t="s">
        <v>18</v>
      </c>
      <c r="E301" s="3">
        <v>401582.58</v>
      </c>
      <c r="F301" s="3">
        <f>Multiple_Model!$B$13+Multiple_Model!$B$14*Dummy_Variables!E301+Multiple_Model!$B$15*Dummy_Variables!F301+Multiple_Model!$B$16*Dummy_Variables!G301+Multiple_Model!$B$17*Dummy_Variables!I301+Multiple_Model!$B$18*Dummy_Variables!L301+Multiple_Model!$B$19*Dummy_Variables!H301+Multiple_Model!$B$20*Dummy_Variables!K301+Multiple_Model!$B$21*Dummy_Variables!J301+Multiple_Model!$B$22*Dummy_Variables!O301+Multiple_Model!$B$23*Dummy_Variables!P301+Multiple_Model!$B$24*Dummy_Variables!Q301+Multiple_Model!$B$25*Dummy_Variables!R301+Multiple_Model!$B$26*Dummy_Variables!S301+Multiple_Model!$B$27*Dummy_Variables!T301</f>
        <v>434510.40458332887</v>
      </c>
      <c r="G301" s="3">
        <f>E301-F301</f>
        <v>-32927.824583328853</v>
      </c>
      <c r="H301" s="3">
        <f>ABS(G301)</f>
        <v>32927.824583328853</v>
      </c>
      <c r="I301" t="str">
        <f>IF(G301&gt;0,"Under-predicted","Over-predicted")</f>
        <v>Over-predicted</v>
      </c>
    </row>
    <row r="302" spans="1:9">
      <c r="A302" t="s">
        <v>97</v>
      </c>
      <c r="B302" s="2">
        <v>45658</v>
      </c>
      <c r="C302" t="s">
        <v>20</v>
      </c>
      <c r="D302" t="s">
        <v>28</v>
      </c>
      <c r="E302" s="3">
        <v>703812.99</v>
      </c>
      <c r="F302" s="3">
        <f>Multiple_Model!$B$13+Multiple_Model!$B$14*Dummy_Variables!E302+Multiple_Model!$B$15*Dummy_Variables!F302+Multiple_Model!$B$16*Dummy_Variables!G302+Multiple_Model!$B$17*Dummy_Variables!I302+Multiple_Model!$B$18*Dummy_Variables!L302+Multiple_Model!$B$19*Dummy_Variables!H302+Multiple_Model!$B$20*Dummy_Variables!K302+Multiple_Model!$B$21*Dummy_Variables!J302+Multiple_Model!$B$22*Dummy_Variables!O302+Multiple_Model!$B$23*Dummy_Variables!P302+Multiple_Model!$B$24*Dummy_Variables!Q302+Multiple_Model!$B$25*Dummy_Variables!R302+Multiple_Model!$B$26*Dummy_Variables!S302+Multiple_Model!$B$27*Dummy_Variables!T302</f>
        <v>749635.98713899741</v>
      </c>
      <c r="G302" s="3">
        <f>E302-F302</f>
        <v>-45822.997138997423</v>
      </c>
      <c r="H302" s="3">
        <f>ABS(G302)</f>
        <v>45822.997138997423</v>
      </c>
      <c r="I302" t="str">
        <f>IF(G302&gt;0,"Under-predicted","Over-predicted")</f>
        <v>Over-predicted</v>
      </c>
    </row>
    <row r="303" spans="1:9">
      <c r="A303" t="s">
        <v>97</v>
      </c>
      <c r="B303" s="2">
        <v>45689</v>
      </c>
      <c r="C303" t="s">
        <v>20</v>
      </c>
      <c r="D303" t="s">
        <v>28</v>
      </c>
      <c r="E303" s="3">
        <v>724346.73</v>
      </c>
      <c r="F303" s="3">
        <f>Multiple_Model!$B$13+Multiple_Model!$B$14*Dummy_Variables!E303+Multiple_Model!$B$15*Dummy_Variables!F303+Multiple_Model!$B$16*Dummy_Variables!G303+Multiple_Model!$B$17*Dummy_Variables!I303+Multiple_Model!$B$18*Dummy_Variables!L303+Multiple_Model!$B$19*Dummy_Variables!H303+Multiple_Model!$B$20*Dummy_Variables!K303+Multiple_Model!$B$21*Dummy_Variables!J303+Multiple_Model!$B$22*Dummy_Variables!O303+Multiple_Model!$B$23*Dummy_Variables!P303+Multiple_Model!$B$24*Dummy_Variables!Q303+Multiple_Model!$B$25*Dummy_Variables!R303+Multiple_Model!$B$26*Dummy_Variables!S303+Multiple_Model!$B$27*Dummy_Variables!T303</f>
        <v>736320.07312644168</v>
      </c>
      <c r="G303" s="3">
        <f>E303-F303</f>
        <v>-11973.343126441701</v>
      </c>
      <c r="H303" s="3">
        <f>ABS(G303)</f>
        <v>11973.343126441701</v>
      </c>
      <c r="I303" t="str">
        <f>IF(G303&gt;0,"Under-predicted","Over-predicted")</f>
        <v>Over-predicted</v>
      </c>
    </row>
    <row r="304" spans="1:9">
      <c r="A304" t="s">
        <v>97</v>
      </c>
      <c r="B304" s="2">
        <v>45717</v>
      </c>
      <c r="C304" t="s">
        <v>20</v>
      </c>
      <c r="D304" t="s">
        <v>28</v>
      </c>
      <c r="E304" s="3">
        <v>730890.01</v>
      </c>
      <c r="F304" s="3">
        <f>Multiple_Model!$B$13+Multiple_Model!$B$14*Dummy_Variables!E304+Multiple_Model!$B$15*Dummy_Variables!F304+Multiple_Model!$B$16*Dummy_Variables!G304+Multiple_Model!$B$17*Dummy_Variables!I304+Multiple_Model!$B$18*Dummy_Variables!L304+Multiple_Model!$B$19*Dummy_Variables!H304+Multiple_Model!$B$20*Dummy_Variables!K304+Multiple_Model!$B$21*Dummy_Variables!J304+Multiple_Model!$B$22*Dummy_Variables!O304+Multiple_Model!$B$23*Dummy_Variables!P304+Multiple_Model!$B$24*Dummy_Variables!Q304+Multiple_Model!$B$25*Dummy_Variables!R304+Multiple_Model!$B$26*Dummy_Variables!S304+Multiple_Model!$B$27*Dummy_Variables!T304</f>
        <v>761515.8838012144</v>
      </c>
      <c r="G304" s="3">
        <f>E304-F304</f>
        <v>-30625.873801214388</v>
      </c>
      <c r="H304" s="3">
        <f>ABS(G304)</f>
        <v>30625.873801214388</v>
      </c>
      <c r="I304" t="str">
        <f>IF(G304&gt;0,"Under-predicted","Over-predicted")</f>
        <v>Over-predicted</v>
      </c>
    </row>
    <row r="305" spans="1:9">
      <c r="A305" t="s">
        <v>97</v>
      </c>
      <c r="B305" s="2">
        <v>45748</v>
      </c>
      <c r="C305" t="s">
        <v>20</v>
      </c>
      <c r="D305" t="s">
        <v>28</v>
      </c>
      <c r="E305" s="3">
        <v>780580.95</v>
      </c>
      <c r="F305" s="3">
        <f>Multiple_Model!$B$13+Multiple_Model!$B$14*Dummy_Variables!E305+Multiple_Model!$B$15*Dummy_Variables!F305+Multiple_Model!$B$16*Dummy_Variables!G305+Multiple_Model!$B$17*Dummy_Variables!I305+Multiple_Model!$B$18*Dummy_Variables!L305+Multiple_Model!$B$19*Dummy_Variables!H305+Multiple_Model!$B$20*Dummy_Variables!K305+Multiple_Model!$B$21*Dummy_Variables!J305+Multiple_Model!$B$22*Dummy_Variables!O305+Multiple_Model!$B$23*Dummy_Variables!P305+Multiple_Model!$B$24*Dummy_Variables!Q305+Multiple_Model!$B$25*Dummy_Variables!R305+Multiple_Model!$B$26*Dummy_Variables!S305+Multiple_Model!$B$27*Dummy_Variables!T305</f>
        <v>729530.09818783228</v>
      </c>
      <c r="G305" s="3">
        <f>E305-F305</f>
        <v>51050.851812167675</v>
      </c>
      <c r="H305" s="3">
        <f>ABS(G305)</f>
        <v>51050.851812167675</v>
      </c>
      <c r="I305" t="str">
        <f>IF(G305&gt;0,"Under-predicted","Over-predicted")</f>
        <v>Under-predicted</v>
      </c>
    </row>
    <row r="306" spans="1:9">
      <c r="A306" t="s">
        <v>98</v>
      </c>
      <c r="B306" s="2">
        <v>45658</v>
      </c>
      <c r="C306" t="s">
        <v>24</v>
      </c>
      <c r="D306" t="s">
        <v>16</v>
      </c>
      <c r="E306" s="3">
        <v>727957.48</v>
      </c>
      <c r="F306" s="3">
        <f>Multiple_Model!$B$13+Multiple_Model!$B$14*Dummy_Variables!E306+Multiple_Model!$B$15*Dummy_Variables!F306+Multiple_Model!$B$16*Dummy_Variables!G306+Multiple_Model!$B$17*Dummy_Variables!I306+Multiple_Model!$B$18*Dummy_Variables!L306+Multiple_Model!$B$19*Dummy_Variables!H306+Multiple_Model!$B$20*Dummy_Variables!K306+Multiple_Model!$B$21*Dummy_Variables!J306+Multiple_Model!$B$22*Dummy_Variables!O306+Multiple_Model!$B$23*Dummy_Variables!P306+Multiple_Model!$B$24*Dummy_Variables!Q306+Multiple_Model!$B$25*Dummy_Variables!R306+Multiple_Model!$B$26*Dummy_Variables!S306+Multiple_Model!$B$27*Dummy_Variables!T306</f>
        <v>683434.84852706047</v>
      </c>
      <c r="G306" s="3">
        <f>E306-F306</f>
        <v>44522.631472939509</v>
      </c>
      <c r="H306" s="3">
        <f>ABS(G306)</f>
        <v>44522.631472939509</v>
      </c>
      <c r="I306" t="str">
        <f>IF(G306&gt;0,"Under-predicted","Over-predicted")</f>
        <v>Under-predicted</v>
      </c>
    </row>
    <row r="307" spans="1:9">
      <c r="A307" t="s">
        <v>98</v>
      </c>
      <c r="B307" s="2">
        <v>45689</v>
      </c>
      <c r="C307" t="s">
        <v>24</v>
      </c>
      <c r="D307" t="s">
        <v>16</v>
      </c>
      <c r="E307" s="3">
        <v>538376</v>
      </c>
      <c r="F307" s="3">
        <f>Multiple_Model!$B$13+Multiple_Model!$B$14*Dummy_Variables!E307+Multiple_Model!$B$15*Dummy_Variables!F307+Multiple_Model!$B$16*Dummy_Variables!G307+Multiple_Model!$B$17*Dummy_Variables!I307+Multiple_Model!$B$18*Dummy_Variables!L307+Multiple_Model!$B$19*Dummy_Variables!H307+Multiple_Model!$B$20*Dummy_Variables!K307+Multiple_Model!$B$21*Dummy_Variables!J307+Multiple_Model!$B$22*Dummy_Variables!O307+Multiple_Model!$B$23*Dummy_Variables!P307+Multiple_Model!$B$24*Dummy_Variables!Q307+Multiple_Model!$B$25*Dummy_Variables!R307+Multiple_Model!$B$26*Dummy_Variables!S307+Multiple_Model!$B$27*Dummy_Variables!T307</f>
        <v>590653.65924424271</v>
      </c>
      <c r="G307" s="3">
        <f>E307-F307</f>
        <v>-52277.659244242706</v>
      </c>
      <c r="H307" s="3">
        <f>ABS(G307)</f>
        <v>52277.659244242706</v>
      </c>
      <c r="I307" t="str">
        <f>IF(G307&gt;0,"Under-predicted","Over-predicted")</f>
        <v>Over-predicted</v>
      </c>
    </row>
    <row r="308" spans="1:9">
      <c r="A308" t="s">
        <v>98</v>
      </c>
      <c r="B308" s="2">
        <v>45717</v>
      </c>
      <c r="C308" t="s">
        <v>24</v>
      </c>
      <c r="D308" t="s">
        <v>16</v>
      </c>
      <c r="E308" s="3">
        <v>665342.49</v>
      </c>
      <c r="F308" s="3">
        <f>Multiple_Model!$B$13+Multiple_Model!$B$14*Dummy_Variables!E308+Multiple_Model!$B$15*Dummy_Variables!F308+Multiple_Model!$B$16*Dummy_Variables!G308+Multiple_Model!$B$17*Dummy_Variables!I308+Multiple_Model!$B$18*Dummy_Variables!L308+Multiple_Model!$B$19*Dummy_Variables!H308+Multiple_Model!$B$20*Dummy_Variables!K308+Multiple_Model!$B$21*Dummy_Variables!J308+Multiple_Model!$B$22*Dummy_Variables!O308+Multiple_Model!$B$23*Dummy_Variables!P308+Multiple_Model!$B$24*Dummy_Variables!Q308+Multiple_Model!$B$25*Dummy_Variables!R308+Multiple_Model!$B$26*Dummy_Variables!S308+Multiple_Model!$B$27*Dummy_Variables!T308</f>
        <v>625605.6229148024</v>
      </c>
      <c r="G308" s="3">
        <f>E308-F308</f>
        <v>39736.867085197591</v>
      </c>
      <c r="H308" s="3">
        <f>ABS(G308)</f>
        <v>39736.867085197591</v>
      </c>
      <c r="I308" t="str">
        <f>IF(G308&gt;0,"Under-predicted","Over-predicted")</f>
        <v>Under-predicted</v>
      </c>
    </row>
    <row r="309" spans="1:9">
      <c r="A309" t="s">
        <v>98</v>
      </c>
      <c r="B309" s="2">
        <v>45748</v>
      </c>
      <c r="C309" t="s">
        <v>24</v>
      </c>
      <c r="D309" t="s">
        <v>16</v>
      </c>
      <c r="E309" s="3">
        <v>651164.18000000005</v>
      </c>
      <c r="F309" s="3">
        <f>Multiple_Model!$B$13+Multiple_Model!$B$14*Dummy_Variables!E309+Multiple_Model!$B$15*Dummy_Variables!F309+Multiple_Model!$B$16*Dummy_Variables!G309+Multiple_Model!$B$17*Dummy_Variables!I309+Multiple_Model!$B$18*Dummy_Variables!L309+Multiple_Model!$B$19*Dummy_Variables!H309+Multiple_Model!$B$20*Dummy_Variables!K309+Multiple_Model!$B$21*Dummy_Variables!J309+Multiple_Model!$B$22*Dummy_Variables!O309+Multiple_Model!$B$23*Dummy_Variables!P309+Multiple_Model!$B$24*Dummy_Variables!Q309+Multiple_Model!$B$25*Dummy_Variables!R309+Multiple_Model!$B$26*Dummy_Variables!S309+Multiple_Model!$B$27*Dummy_Variables!T309</f>
        <v>697910.79851079045</v>
      </c>
      <c r="G309" s="3">
        <f>E309-F309</f>
        <v>-46746.618510790402</v>
      </c>
      <c r="H309" s="3">
        <f>ABS(G309)</f>
        <v>46746.618510790402</v>
      </c>
      <c r="I309" t="str">
        <f>IF(G309&gt;0,"Under-predicted","Over-predicted")</f>
        <v>Over-predicted</v>
      </c>
    </row>
    <row r="310" spans="1:9">
      <c r="A310" t="s">
        <v>99</v>
      </c>
      <c r="B310" s="2">
        <v>45658</v>
      </c>
      <c r="C310" t="s">
        <v>24</v>
      </c>
      <c r="D310" t="s">
        <v>18</v>
      </c>
      <c r="E310" s="3">
        <v>628538.30000000005</v>
      </c>
      <c r="F310" s="3">
        <f>Multiple_Model!$B$13+Multiple_Model!$B$14*Dummy_Variables!E310+Multiple_Model!$B$15*Dummy_Variables!F310+Multiple_Model!$B$16*Dummy_Variables!G310+Multiple_Model!$B$17*Dummy_Variables!I310+Multiple_Model!$B$18*Dummy_Variables!L310+Multiple_Model!$B$19*Dummy_Variables!H310+Multiple_Model!$B$20*Dummy_Variables!K310+Multiple_Model!$B$21*Dummy_Variables!J310+Multiple_Model!$B$22*Dummy_Variables!O310+Multiple_Model!$B$23*Dummy_Variables!P310+Multiple_Model!$B$24*Dummy_Variables!Q310+Multiple_Model!$B$25*Dummy_Variables!R310+Multiple_Model!$B$26*Dummy_Variables!S310+Multiple_Model!$B$27*Dummy_Variables!T310</f>
        <v>642007.1537084165</v>
      </c>
      <c r="G310" s="3">
        <f>E310-F310</f>
        <v>-13468.853708416456</v>
      </c>
      <c r="H310" s="3">
        <f>ABS(G310)</f>
        <v>13468.853708416456</v>
      </c>
      <c r="I310" t="str">
        <f>IF(G310&gt;0,"Under-predicted","Over-predicted")</f>
        <v>Over-predicted</v>
      </c>
    </row>
    <row r="311" spans="1:9">
      <c r="A311" t="s">
        <v>99</v>
      </c>
      <c r="B311" s="2">
        <v>45689</v>
      </c>
      <c r="C311" t="s">
        <v>24</v>
      </c>
      <c r="D311" t="s">
        <v>18</v>
      </c>
      <c r="E311" s="3">
        <v>536524.84</v>
      </c>
      <c r="F311" s="3">
        <f>Multiple_Model!$B$13+Multiple_Model!$B$14*Dummy_Variables!E311+Multiple_Model!$B$15*Dummy_Variables!F311+Multiple_Model!$B$16*Dummy_Variables!G311+Multiple_Model!$B$17*Dummy_Variables!I311+Multiple_Model!$B$18*Dummy_Variables!L311+Multiple_Model!$B$19*Dummy_Variables!H311+Multiple_Model!$B$20*Dummy_Variables!K311+Multiple_Model!$B$21*Dummy_Variables!J311+Multiple_Model!$B$22*Dummy_Variables!O311+Multiple_Model!$B$23*Dummy_Variables!P311+Multiple_Model!$B$24*Dummy_Variables!Q311+Multiple_Model!$B$25*Dummy_Variables!R311+Multiple_Model!$B$26*Dummy_Variables!S311+Multiple_Model!$B$27*Dummy_Variables!T311</f>
        <v>592379.75637334737</v>
      </c>
      <c r="G311" s="3">
        <f>E311-F311</f>
        <v>-55854.916373347398</v>
      </c>
      <c r="H311" s="3">
        <f>ABS(G311)</f>
        <v>55854.916373347398</v>
      </c>
      <c r="I311" t="str">
        <f>IF(G311&gt;0,"Under-predicted","Over-predicted")</f>
        <v>Over-predicted</v>
      </c>
    </row>
    <row r="312" spans="1:9">
      <c r="A312" t="s">
        <v>99</v>
      </c>
      <c r="B312" s="2">
        <v>45717</v>
      </c>
      <c r="C312" t="s">
        <v>24</v>
      </c>
      <c r="D312" t="s">
        <v>18</v>
      </c>
      <c r="E312" s="3">
        <v>621677.30000000005</v>
      </c>
      <c r="F312" s="3">
        <f>Multiple_Model!$B$13+Multiple_Model!$B$14*Dummy_Variables!E312+Multiple_Model!$B$15*Dummy_Variables!F312+Multiple_Model!$B$16*Dummy_Variables!G312+Multiple_Model!$B$17*Dummy_Variables!I312+Multiple_Model!$B$18*Dummy_Variables!L312+Multiple_Model!$B$19*Dummy_Variables!H312+Multiple_Model!$B$20*Dummy_Variables!K312+Multiple_Model!$B$21*Dummy_Variables!J312+Multiple_Model!$B$22*Dummy_Variables!O312+Multiple_Model!$B$23*Dummy_Variables!P312+Multiple_Model!$B$24*Dummy_Variables!Q312+Multiple_Model!$B$25*Dummy_Variables!R312+Multiple_Model!$B$26*Dummy_Variables!S312+Multiple_Model!$B$27*Dummy_Variables!T312</f>
        <v>613092.40474688623</v>
      </c>
      <c r="G312" s="3">
        <f>E312-F312</f>
        <v>8584.8952531138202</v>
      </c>
      <c r="H312" s="3">
        <f>ABS(G312)</f>
        <v>8584.8952531138202</v>
      </c>
      <c r="I312" t="str">
        <f>IF(G312&gt;0,"Under-predicted","Over-predicted")</f>
        <v>Under-predicted</v>
      </c>
    </row>
    <row r="313" spans="1:9">
      <c r="A313" t="s">
        <v>99</v>
      </c>
      <c r="B313" s="2">
        <v>45748</v>
      </c>
      <c r="C313" t="s">
        <v>24</v>
      </c>
      <c r="D313" t="s">
        <v>18</v>
      </c>
      <c r="E313" s="3">
        <v>771129.07</v>
      </c>
      <c r="F313" s="3">
        <f>Multiple_Model!$B$13+Multiple_Model!$B$14*Dummy_Variables!E313+Multiple_Model!$B$15*Dummy_Variables!F313+Multiple_Model!$B$16*Dummy_Variables!G313+Multiple_Model!$B$17*Dummy_Variables!I313+Multiple_Model!$B$18*Dummy_Variables!L313+Multiple_Model!$B$19*Dummy_Variables!H313+Multiple_Model!$B$20*Dummy_Variables!K313+Multiple_Model!$B$21*Dummy_Variables!J313+Multiple_Model!$B$22*Dummy_Variables!O313+Multiple_Model!$B$23*Dummy_Variables!P313+Multiple_Model!$B$24*Dummy_Variables!Q313+Multiple_Model!$B$25*Dummy_Variables!R313+Multiple_Model!$B$26*Dummy_Variables!S313+Multiple_Model!$B$27*Dummy_Variables!T313</f>
        <v>774007.05954006361</v>
      </c>
      <c r="G313" s="3">
        <f>E313-F313</f>
        <v>-2877.9895400636597</v>
      </c>
      <c r="H313" s="3">
        <f>ABS(G313)</f>
        <v>2877.9895400636597</v>
      </c>
      <c r="I313" t="str">
        <f>IF(G313&gt;0,"Under-predicted","Over-predicted")</f>
        <v>Over-predicted</v>
      </c>
    </row>
    <row r="314" spans="1:9">
      <c r="A314" t="s">
        <v>100</v>
      </c>
      <c r="B314" s="2">
        <v>45658</v>
      </c>
      <c r="C314" t="s">
        <v>20</v>
      </c>
      <c r="D314" t="s">
        <v>16</v>
      </c>
      <c r="E314" s="3">
        <v>702052.47</v>
      </c>
      <c r="F314" s="3">
        <f>Multiple_Model!$B$13+Multiple_Model!$B$14*Dummy_Variables!E314+Multiple_Model!$B$15*Dummy_Variables!F314+Multiple_Model!$B$16*Dummy_Variables!G314+Multiple_Model!$B$17*Dummy_Variables!I314+Multiple_Model!$B$18*Dummy_Variables!L314+Multiple_Model!$B$19*Dummy_Variables!H314+Multiple_Model!$B$20*Dummy_Variables!K314+Multiple_Model!$B$21*Dummy_Variables!J314+Multiple_Model!$B$22*Dummy_Variables!O314+Multiple_Model!$B$23*Dummy_Variables!P314+Multiple_Model!$B$24*Dummy_Variables!Q314+Multiple_Model!$B$25*Dummy_Variables!R314+Multiple_Model!$B$26*Dummy_Variables!S314+Multiple_Model!$B$27*Dummy_Variables!T314</f>
        <v>674549.92761468852</v>
      </c>
      <c r="G314" s="3">
        <f>E314-F314</f>
        <v>27502.542385311448</v>
      </c>
      <c r="H314" s="3">
        <f>ABS(G314)</f>
        <v>27502.542385311448</v>
      </c>
      <c r="I314" t="str">
        <f>IF(G314&gt;0,"Under-predicted","Over-predicted")</f>
        <v>Under-predicted</v>
      </c>
    </row>
    <row r="315" spans="1:9">
      <c r="A315" t="s">
        <v>100</v>
      </c>
      <c r="B315" s="2">
        <v>45689</v>
      </c>
      <c r="C315" t="s">
        <v>20</v>
      </c>
      <c r="D315" t="s">
        <v>16</v>
      </c>
      <c r="E315" s="3">
        <v>688368.46</v>
      </c>
      <c r="F315" s="3">
        <f>Multiple_Model!$B$13+Multiple_Model!$B$14*Dummy_Variables!E315+Multiple_Model!$B$15*Dummy_Variables!F315+Multiple_Model!$B$16*Dummy_Variables!G315+Multiple_Model!$B$17*Dummy_Variables!I315+Multiple_Model!$B$18*Dummy_Variables!L315+Multiple_Model!$B$19*Dummy_Variables!H315+Multiple_Model!$B$20*Dummy_Variables!K315+Multiple_Model!$B$21*Dummy_Variables!J315+Multiple_Model!$B$22*Dummy_Variables!O315+Multiple_Model!$B$23*Dummy_Variables!P315+Multiple_Model!$B$24*Dummy_Variables!Q315+Multiple_Model!$B$25*Dummy_Variables!R315+Multiple_Model!$B$26*Dummy_Variables!S315+Multiple_Model!$B$27*Dummy_Variables!T315</f>
        <v>704742.3274226283</v>
      </c>
      <c r="G315" s="3">
        <f>E315-F315</f>
        <v>-16373.867422628333</v>
      </c>
      <c r="H315" s="3">
        <f>ABS(G315)</f>
        <v>16373.867422628333</v>
      </c>
      <c r="I315" t="str">
        <f>IF(G315&gt;0,"Under-predicted","Over-predicted")</f>
        <v>Over-predicted</v>
      </c>
    </row>
    <row r="316" spans="1:9">
      <c r="A316" t="s">
        <v>100</v>
      </c>
      <c r="B316" s="2">
        <v>45717</v>
      </c>
      <c r="C316" t="s">
        <v>20</v>
      </c>
      <c r="D316" t="s">
        <v>16</v>
      </c>
      <c r="E316" s="3">
        <v>712375.77</v>
      </c>
      <c r="F316" s="3">
        <f>Multiple_Model!$B$13+Multiple_Model!$B$14*Dummy_Variables!E316+Multiple_Model!$B$15*Dummy_Variables!F316+Multiple_Model!$B$16*Dummy_Variables!G316+Multiple_Model!$B$17*Dummy_Variables!I316+Multiple_Model!$B$18*Dummy_Variables!L316+Multiple_Model!$B$19*Dummy_Variables!H316+Multiple_Model!$B$20*Dummy_Variables!K316+Multiple_Model!$B$21*Dummy_Variables!J316+Multiple_Model!$B$22*Dummy_Variables!O316+Multiple_Model!$B$23*Dummy_Variables!P316+Multiple_Model!$B$24*Dummy_Variables!Q316+Multiple_Model!$B$25*Dummy_Variables!R316+Multiple_Model!$B$26*Dummy_Variables!S316+Multiple_Model!$B$27*Dummy_Variables!T316</f>
        <v>686177.91186185577</v>
      </c>
      <c r="G316" s="3">
        <f>E316-F316</f>
        <v>26197.858138144249</v>
      </c>
      <c r="H316" s="3">
        <f>ABS(G316)</f>
        <v>26197.858138144249</v>
      </c>
      <c r="I316" t="str">
        <f>IF(G316&gt;0,"Under-predicted","Over-predicted")</f>
        <v>Under-predicted</v>
      </c>
    </row>
    <row r="317" spans="1:9">
      <c r="A317" t="s">
        <v>100</v>
      </c>
      <c r="B317" s="2">
        <v>45748</v>
      </c>
      <c r="C317" t="s">
        <v>20</v>
      </c>
      <c r="D317" t="s">
        <v>16</v>
      </c>
      <c r="E317" s="3">
        <v>844710.67</v>
      </c>
      <c r="F317" s="3">
        <f>Multiple_Model!$B$13+Multiple_Model!$B$14*Dummy_Variables!E317+Multiple_Model!$B$15*Dummy_Variables!F317+Multiple_Model!$B$16*Dummy_Variables!G317+Multiple_Model!$B$17*Dummy_Variables!I317+Multiple_Model!$B$18*Dummy_Variables!L317+Multiple_Model!$B$19*Dummy_Variables!H317+Multiple_Model!$B$20*Dummy_Variables!K317+Multiple_Model!$B$21*Dummy_Variables!J317+Multiple_Model!$B$22*Dummy_Variables!O317+Multiple_Model!$B$23*Dummy_Variables!P317+Multiple_Model!$B$24*Dummy_Variables!Q317+Multiple_Model!$B$25*Dummy_Variables!R317+Multiple_Model!$B$26*Dummy_Variables!S317+Multiple_Model!$B$27*Dummy_Variables!T317</f>
        <v>797282.01527134702</v>
      </c>
      <c r="G317" s="3">
        <f>E317-F317</f>
        <v>47428.654728653026</v>
      </c>
      <c r="H317" s="3">
        <f>ABS(G317)</f>
        <v>47428.654728653026</v>
      </c>
      <c r="I317" t="str">
        <f>IF(G317&gt;0,"Under-predicted","Over-predicted")</f>
        <v>Under-predicted</v>
      </c>
    </row>
    <row r="318" spans="1:9">
      <c r="A318" t="s">
        <v>101</v>
      </c>
      <c r="B318" s="2">
        <v>45658</v>
      </c>
      <c r="C318" t="s">
        <v>15</v>
      </c>
      <c r="D318" t="s">
        <v>16</v>
      </c>
      <c r="E318" s="3">
        <v>620264.19999999995</v>
      </c>
      <c r="F318" s="3">
        <f>Multiple_Model!$B$13+Multiple_Model!$B$14*Dummy_Variables!E318+Multiple_Model!$B$15*Dummy_Variables!F318+Multiple_Model!$B$16*Dummy_Variables!G318+Multiple_Model!$B$17*Dummy_Variables!I318+Multiple_Model!$B$18*Dummy_Variables!L318+Multiple_Model!$B$19*Dummy_Variables!H318+Multiple_Model!$B$20*Dummy_Variables!K318+Multiple_Model!$B$21*Dummy_Variables!J318+Multiple_Model!$B$22*Dummy_Variables!O318+Multiple_Model!$B$23*Dummy_Variables!P318+Multiple_Model!$B$24*Dummy_Variables!Q318+Multiple_Model!$B$25*Dummy_Variables!R318+Multiple_Model!$B$26*Dummy_Variables!S318+Multiple_Model!$B$27*Dummy_Variables!T318</f>
        <v>680087.97876384226</v>
      </c>
      <c r="G318" s="3">
        <f>E318-F318</f>
        <v>-59823.778763842303</v>
      </c>
      <c r="H318" s="3">
        <f>ABS(G318)</f>
        <v>59823.778763842303</v>
      </c>
      <c r="I318" t="str">
        <f>IF(G318&gt;0,"Under-predicted","Over-predicted")</f>
        <v>Over-predicted</v>
      </c>
    </row>
    <row r="319" spans="1:9">
      <c r="A319" t="s">
        <v>101</v>
      </c>
      <c r="B319" s="2">
        <v>45689</v>
      </c>
      <c r="C319" t="s">
        <v>15</v>
      </c>
      <c r="D319" t="s">
        <v>16</v>
      </c>
      <c r="E319" s="3">
        <v>536845.42000000004</v>
      </c>
      <c r="F319" s="3">
        <f>Multiple_Model!$B$13+Multiple_Model!$B$14*Dummy_Variables!E319+Multiple_Model!$B$15*Dummy_Variables!F319+Multiple_Model!$B$16*Dummy_Variables!G319+Multiple_Model!$B$17*Dummy_Variables!I319+Multiple_Model!$B$18*Dummy_Variables!L319+Multiple_Model!$B$19*Dummy_Variables!H319+Multiple_Model!$B$20*Dummy_Variables!K319+Multiple_Model!$B$21*Dummy_Variables!J319+Multiple_Model!$B$22*Dummy_Variables!O319+Multiple_Model!$B$23*Dummy_Variables!P319+Multiple_Model!$B$24*Dummy_Variables!Q319+Multiple_Model!$B$25*Dummy_Variables!R319+Multiple_Model!$B$26*Dummy_Variables!S319+Multiple_Model!$B$27*Dummy_Variables!T319</f>
        <v>520431.35866194044</v>
      </c>
      <c r="G319" s="3">
        <f>E319-F319</f>
        <v>16414.061338059604</v>
      </c>
      <c r="H319" s="3">
        <f>ABS(G319)</f>
        <v>16414.061338059604</v>
      </c>
      <c r="I319" t="str">
        <f>IF(G319&gt;0,"Under-predicted","Over-predicted")</f>
        <v>Under-predicted</v>
      </c>
    </row>
    <row r="320" spans="1:9">
      <c r="A320" t="s">
        <v>101</v>
      </c>
      <c r="B320" s="2">
        <v>45717</v>
      </c>
      <c r="C320" t="s">
        <v>15</v>
      </c>
      <c r="D320" t="s">
        <v>16</v>
      </c>
      <c r="E320" s="3">
        <v>726776.22</v>
      </c>
      <c r="F320" s="3">
        <f>Multiple_Model!$B$13+Multiple_Model!$B$14*Dummy_Variables!E320+Multiple_Model!$B$15*Dummy_Variables!F320+Multiple_Model!$B$16*Dummy_Variables!G320+Multiple_Model!$B$17*Dummy_Variables!I320+Multiple_Model!$B$18*Dummy_Variables!L320+Multiple_Model!$B$19*Dummy_Variables!H320+Multiple_Model!$B$20*Dummy_Variables!K320+Multiple_Model!$B$21*Dummy_Variables!J320+Multiple_Model!$B$22*Dummy_Variables!O320+Multiple_Model!$B$23*Dummy_Variables!P320+Multiple_Model!$B$24*Dummy_Variables!Q320+Multiple_Model!$B$25*Dummy_Variables!R320+Multiple_Model!$B$26*Dummy_Variables!S320+Multiple_Model!$B$27*Dummy_Variables!T320</f>
        <v>726344.92950171349</v>
      </c>
      <c r="G320" s="3">
        <f>E320-F320</f>
        <v>431.29049828648567</v>
      </c>
      <c r="H320" s="3">
        <f>ABS(G320)</f>
        <v>431.29049828648567</v>
      </c>
      <c r="I320" t="str">
        <f>IF(G320&gt;0,"Under-predicted","Over-predicted")</f>
        <v>Under-predicted</v>
      </c>
    </row>
    <row r="321" spans="1:9">
      <c r="A321" t="s">
        <v>101</v>
      </c>
      <c r="B321" s="2">
        <v>45748</v>
      </c>
      <c r="C321" t="s">
        <v>15</v>
      </c>
      <c r="D321" t="s">
        <v>16</v>
      </c>
      <c r="E321" s="3">
        <v>559660.84</v>
      </c>
      <c r="F321" s="3">
        <f>Multiple_Model!$B$13+Multiple_Model!$B$14*Dummy_Variables!E321+Multiple_Model!$B$15*Dummy_Variables!F321+Multiple_Model!$B$16*Dummy_Variables!G321+Multiple_Model!$B$17*Dummy_Variables!I321+Multiple_Model!$B$18*Dummy_Variables!L321+Multiple_Model!$B$19*Dummy_Variables!H321+Multiple_Model!$B$20*Dummy_Variables!K321+Multiple_Model!$B$21*Dummy_Variables!J321+Multiple_Model!$B$22*Dummy_Variables!O321+Multiple_Model!$B$23*Dummy_Variables!P321+Multiple_Model!$B$24*Dummy_Variables!Q321+Multiple_Model!$B$25*Dummy_Variables!R321+Multiple_Model!$B$26*Dummy_Variables!S321+Multiple_Model!$B$27*Dummy_Variables!T321</f>
        <v>557669.31022340886</v>
      </c>
      <c r="G321" s="3">
        <f>E321-F321</f>
        <v>1991.5297765911091</v>
      </c>
      <c r="H321" s="3">
        <f>ABS(G321)</f>
        <v>1991.5297765911091</v>
      </c>
      <c r="I321" t="str">
        <f>IF(G321&gt;0,"Under-predicted","Over-predicted")</f>
        <v>Under-predicted</v>
      </c>
    </row>
  </sheetData>
  <mergeCells count="1">
    <mergeCell ref="K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zoomScaleNormal="100" zoomScaleSheetLayoutView="100" workbookViewId="0"/>
  </sheetViews>
  <sheetFormatPr defaultRowHeight="15"/>
  <cols>
    <col min="1" max="1" width="28.75" customWidth="1"/>
    <col min="2" max="2" width="15.75" customWidth="1"/>
    <col min="3" max="3" width="184.125" customWidth="1"/>
    <col min="4" max="4" width="8.25" customWidth="1"/>
    <col min="5" max="5" width="15.5" customWidth="1"/>
    <col min="6" max="6" width="62.625" customWidth="1"/>
    <col min="7" max="7" width="34.375" customWidth="1"/>
    <col min="8" max="8" width="30" customWidth="1"/>
  </cols>
  <sheetData>
    <row r="1" spans="1:8" ht="24" customHeight="1">
      <c r="A1" s="11" t="s">
        <v>170</v>
      </c>
      <c r="B1" s="12"/>
      <c r="C1" s="12"/>
      <c r="D1" s="12"/>
      <c r="E1" s="12"/>
      <c r="F1" s="12"/>
      <c r="G1" s="12"/>
      <c r="H1" s="12"/>
    </row>
    <row r="3" spans="1:8">
      <c r="A3" s="1" t="s">
        <v>171</v>
      </c>
      <c r="B3" s="1" t="s">
        <v>111</v>
      </c>
      <c r="C3" s="1" t="s">
        <v>172</v>
      </c>
      <c r="D3" s="1" t="s">
        <v>120</v>
      </c>
      <c r="E3" s="1" t="s">
        <v>123</v>
      </c>
      <c r="F3" s="1" t="s">
        <v>173</v>
      </c>
      <c r="G3" s="1" t="s">
        <v>174</v>
      </c>
      <c r="H3" s="1" t="s">
        <v>175</v>
      </c>
    </row>
    <row r="4" spans="1:8">
      <c r="A4" t="s">
        <v>176</v>
      </c>
      <c r="B4" t="s">
        <v>12</v>
      </c>
      <c r="C4" t="s">
        <v>4</v>
      </c>
      <c r="D4" s="7">
        <v>0.16724469112486995</v>
      </c>
      <c r="E4" s="7">
        <v>0.16462596373847016</v>
      </c>
      <c r="F4" t="s">
        <v>4</v>
      </c>
      <c r="G4" t="s">
        <v>177</v>
      </c>
      <c r="H4" t="s">
        <v>178</v>
      </c>
    </row>
    <row r="5" spans="1:8">
      <c r="A5" t="s">
        <v>179</v>
      </c>
      <c r="B5" t="s">
        <v>12</v>
      </c>
      <c r="C5" t="s">
        <v>5</v>
      </c>
      <c r="D5" s="7">
        <v>0.73628534000331103</v>
      </c>
      <c r="E5" s="7">
        <v>0.73545604861967362</v>
      </c>
      <c r="F5" t="s">
        <v>5</v>
      </c>
      <c r="G5" t="s">
        <v>180</v>
      </c>
      <c r="H5" t="s">
        <v>181</v>
      </c>
    </row>
    <row r="6" spans="1:8">
      <c r="A6" t="s">
        <v>182</v>
      </c>
      <c r="B6" t="s">
        <v>12</v>
      </c>
      <c r="C6" t="s">
        <v>143</v>
      </c>
      <c r="D6" s="7">
        <v>0.85698738547665765</v>
      </c>
      <c r="E6" s="7">
        <v>0.85042287202312716</v>
      </c>
      <c r="F6" t="s">
        <v>183</v>
      </c>
      <c r="G6" t="s">
        <v>184</v>
      </c>
      <c r="H6" t="s">
        <v>185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5"/>
  <sheetViews>
    <sheetView zoomScaleNormal="100" zoomScaleSheetLayoutView="100" workbookViewId="0"/>
  </sheetViews>
  <sheetFormatPr defaultRowHeight="15"/>
  <cols>
    <col min="1" max="1" width="19.75" customWidth="1"/>
    <col min="2" max="2" width="54.875" customWidth="1"/>
  </cols>
  <sheetData>
    <row r="1" spans="1:2">
      <c r="A1" s="1" t="s">
        <v>186</v>
      </c>
      <c r="B1" s="1" t="s">
        <v>187</v>
      </c>
    </row>
    <row r="2" spans="1:2">
      <c r="A2" t="s">
        <v>0</v>
      </c>
      <c r="B2" t="s">
        <v>188</v>
      </c>
    </row>
    <row r="3" spans="1:2">
      <c r="A3" t="s">
        <v>1</v>
      </c>
      <c r="B3" t="s">
        <v>189</v>
      </c>
    </row>
    <row r="4" spans="1:2">
      <c r="A4" t="s">
        <v>2</v>
      </c>
      <c r="B4" t="s">
        <v>190</v>
      </c>
    </row>
    <row r="5" spans="1:2">
      <c r="A5" t="s">
        <v>3</v>
      </c>
      <c r="B5" t="s">
        <v>191</v>
      </c>
    </row>
    <row r="6" spans="1:2">
      <c r="A6" t="s">
        <v>4</v>
      </c>
      <c r="B6" t="s">
        <v>192</v>
      </c>
    </row>
    <row r="7" spans="1:2">
      <c r="A7" t="s">
        <v>5</v>
      </c>
      <c r="B7" t="s">
        <v>193</v>
      </c>
    </row>
    <row r="8" spans="1:2">
      <c r="A8" t="s">
        <v>6</v>
      </c>
      <c r="B8" t="s">
        <v>194</v>
      </c>
    </row>
    <row r="9" spans="1:2">
      <c r="A9" t="s">
        <v>7</v>
      </c>
      <c r="B9" t="s">
        <v>195</v>
      </c>
    </row>
    <row r="10" spans="1:2">
      <c r="A10" t="s">
        <v>8</v>
      </c>
      <c r="B10" t="s">
        <v>196</v>
      </c>
    </row>
    <row r="11" spans="1:2">
      <c r="A11" t="s">
        <v>9</v>
      </c>
      <c r="B11" t="s">
        <v>197</v>
      </c>
    </row>
    <row r="12" spans="1:2">
      <c r="A12" t="s">
        <v>10</v>
      </c>
      <c r="B12" t="s">
        <v>198</v>
      </c>
    </row>
    <row r="13" spans="1:2">
      <c r="A13" t="s">
        <v>11</v>
      </c>
      <c r="B13" t="s">
        <v>199</v>
      </c>
    </row>
    <row r="14" spans="1:2">
      <c r="A14" t="s">
        <v>12</v>
      </c>
      <c r="B14" t="s">
        <v>200</v>
      </c>
    </row>
    <row r="15" spans="1:2">
      <c r="A15" t="s">
        <v>13</v>
      </c>
      <c r="B1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2026-06-28T07:19:53Z</dcterms:created>
  <dcterms:modified xsi:type="dcterms:W3CDTF">2026-06-28T07:20:26Z</dcterms:modified>
  <cp:category/>
  <cp:contentStatus/>
</cp:coreProperties>
</file>